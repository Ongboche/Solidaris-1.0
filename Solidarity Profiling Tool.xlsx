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ngboche\Downloads\Solidarity research\"/>
    </mc:Choice>
  </mc:AlternateContent>
  <xr:revisionPtr revIDLastSave="0" documentId="13_ncr:1_{214F7FFA-48C6-4F4A-91E5-D07854D64588}" xr6:coauthVersionLast="47" xr6:coauthVersionMax="47" xr10:uidLastSave="{00000000-0000-0000-0000-000000000000}"/>
  <bookViews>
    <workbookView xWindow="-110" yWindow="-110" windowWidth="19420" windowHeight="10300" tabRatio="873" activeTab="2" xr2:uid="{F1E5A4AE-8E69-4943-831F-7AF7262AEBFF}"/>
  </bookViews>
  <sheets>
    <sheet name="ReadMe" sheetId="8" r:id="rId1"/>
    <sheet name="HowTo" sheetId="9" r:id="rId2"/>
    <sheet name="Dashboard" sheetId="1" r:id="rId3"/>
    <sheet name="Input_Context" sheetId="2" r:id="rId4"/>
    <sheet name="Input_Domains" sheetId="3" r:id="rId5"/>
    <sheet name="Input_Integrity" sheetId="4" r:id="rId6"/>
    <sheet name="Reference" sheetId="5" r:id="rId7"/>
    <sheet name="Calculations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C38" i="1"/>
  <c r="C39" i="1"/>
  <c r="B37" i="1"/>
  <c r="B38" i="1"/>
  <c r="B39" i="1"/>
  <c r="B36" i="1"/>
  <c r="D32" i="1"/>
  <c r="B33" i="1"/>
  <c r="B32" i="1"/>
  <c r="G25" i="1"/>
  <c r="G26" i="1"/>
  <c r="G27" i="1"/>
  <c r="G28" i="1"/>
  <c r="G29" i="1"/>
  <c r="G30" i="1"/>
  <c r="G31" i="1"/>
  <c r="G32" i="1"/>
  <c r="G24" i="1"/>
  <c r="H25" i="1"/>
  <c r="H26" i="1"/>
  <c r="H27" i="1"/>
  <c r="H28" i="1"/>
  <c r="I28" i="1" s="1"/>
  <c r="H29" i="1"/>
  <c r="H30" i="1"/>
  <c r="H31" i="1"/>
  <c r="H32" i="1"/>
  <c r="H24" i="1"/>
  <c r="H6" i="1"/>
  <c r="H7" i="1"/>
  <c r="H8" i="1"/>
  <c r="H9" i="1"/>
  <c r="H10" i="1"/>
  <c r="H11" i="1"/>
  <c r="H12" i="1"/>
  <c r="H13" i="1"/>
  <c r="H5" i="1"/>
  <c r="C26" i="1"/>
  <c r="E26" i="1" s="1"/>
  <c r="C25" i="1"/>
  <c r="D24" i="1"/>
  <c r="C24" i="1"/>
  <c r="E24" i="1"/>
  <c r="C23" i="1"/>
  <c r="C22" i="1"/>
  <c r="C21" i="1"/>
  <c r="C20" i="1"/>
  <c r="C19" i="1"/>
  <c r="C18" i="1"/>
  <c r="D14" i="1"/>
  <c r="B58" i="6"/>
  <c r="B57" i="6"/>
  <c r="B56" i="6"/>
  <c r="B55" i="6"/>
  <c r="B54" i="6"/>
  <c r="B53" i="6"/>
  <c r="B52" i="6"/>
  <c r="B51" i="6"/>
  <c r="B4" i="1" s="1"/>
  <c r="B38" i="6"/>
  <c r="C38" i="6" s="1"/>
  <c r="B37" i="6"/>
  <c r="C37" i="6" s="1"/>
  <c r="B36" i="6"/>
  <c r="C36" i="6" s="1"/>
  <c r="B35" i="6"/>
  <c r="C35" i="6" s="1"/>
  <c r="D20" i="6"/>
  <c r="F9" i="6"/>
  <c r="F10" i="6"/>
  <c r="F11" i="6"/>
  <c r="F12" i="6"/>
  <c r="F13" i="6"/>
  <c r="E14" i="6"/>
  <c r="F14" i="6" s="1"/>
  <c r="D21" i="6" s="1"/>
  <c r="D15" i="1" s="1"/>
  <c r="E13" i="6"/>
  <c r="E12" i="6"/>
  <c r="E11" i="6"/>
  <c r="E10" i="6"/>
  <c r="E9" i="6"/>
  <c r="E8" i="6"/>
  <c r="F8" i="6" s="1"/>
  <c r="E7" i="6"/>
  <c r="F7" i="6" s="1"/>
  <c r="E6" i="6"/>
  <c r="F6" i="6" s="1"/>
  <c r="D14" i="6"/>
  <c r="B21" i="6" s="1"/>
  <c r="B15" i="1" s="1"/>
  <c r="D13" i="6"/>
  <c r="D12" i="6"/>
  <c r="D11" i="6"/>
  <c r="I29" i="1" s="1"/>
  <c r="D10" i="6"/>
  <c r="D9" i="6"/>
  <c r="I8" i="1" s="1"/>
  <c r="D8" i="6"/>
  <c r="I26" i="1" s="1"/>
  <c r="D7" i="6"/>
  <c r="I25" i="1" s="1"/>
  <c r="D6" i="6"/>
  <c r="B40" i="1"/>
  <c r="C37" i="1"/>
  <c r="E25" i="1"/>
  <c r="E22" i="1"/>
  <c r="E21" i="1"/>
  <c r="E19" i="1"/>
  <c r="D18" i="1"/>
  <c r="B43" i="6"/>
  <c r="B44" i="6"/>
  <c r="B27" i="1" s="1"/>
  <c r="B45" i="6"/>
  <c r="B46" i="6"/>
  <c r="E19" i="6"/>
  <c r="E20" i="6"/>
  <c r="E21" i="6"/>
  <c r="I24" i="1" l="1"/>
  <c r="I11" i="1"/>
  <c r="I12" i="1"/>
  <c r="I32" i="1"/>
  <c r="I31" i="1"/>
  <c r="I30" i="1"/>
  <c r="D26" i="1"/>
  <c r="B30" i="6"/>
  <c r="B28" i="6"/>
  <c r="D19" i="6"/>
  <c r="D13" i="1" s="1"/>
  <c r="D25" i="1"/>
  <c r="B20" i="6"/>
  <c r="B14" i="1" s="1"/>
  <c r="B26" i="6"/>
  <c r="B34" i="1" s="1"/>
  <c r="B19" i="6"/>
  <c r="B13" i="1" s="1"/>
  <c r="B29" i="6"/>
  <c r="I10" i="1"/>
  <c r="I27" i="1"/>
  <c r="I7" i="1"/>
  <c r="I6" i="1"/>
  <c r="I13" i="1"/>
  <c r="I9" i="1"/>
  <c r="D22" i="1"/>
  <c r="B31" i="1"/>
  <c r="C31" i="1" s="1"/>
  <c r="D21" i="1"/>
  <c r="D19" i="1"/>
  <c r="B30" i="1"/>
  <c r="D30" i="1" s="1"/>
  <c r="D31" i="1"/>
  <c r="D23" i="1"/>
  <c r="E23" i="1"/>
  <c r="E18" i="1"/>
  <c r="B48" i="1" a="1"/>
  <c r="B48" i="1" s="1"/>
  <c r="C48" i="1"/>
  <c r="I5" i="1"/>
  <c r="I17" i="1"/>
  <c r="D20" i="1"/>
  <c r="B49" i="1" a="1"/>
  <c r="B49" i="1" s="1"/>
  <c r="H17" i="1"/>
  <c r="E20" i="1"/>
  <c r="C49" i="1"/>
  <c r="C21" i="6"/>
  <c r="C15" i="1" s="1"/>
  <c r="H18" i="1"/>
  <c r="I18" i="1" s="1"/>
  <c r="B27" i="6"/>
  <c r="I16" i="1"/>
  <c r="H16" i="1"/>
  <c r="C20" i="6" l="1"/>
  <c r="C14" i="1" s="1"/>
  <c r="C30" i="1"/>
  <c r="C19" i="6"/>
  <c r="C13" i="1" s="1"/>
  <c r="B58" i="1"/>
  <c r="G21" i="1"/>
  <c r="B10" i="1"/>
  <c r="G20" i="1" l="1"/>
  <c r="C33" i="1"/>
  <c r="A4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<sst xmlns="http://schemas.openxmlformats.org/spreadsheetml/2006/main" count="1065" uniqueCount="811">
  <si>
    <t>SOLIDARITY PROFILE ASSESSMENT TOOL</t>
  </si>
  <si>
    <t>Section 1: Program Context &amp; Metadata</t>
  </si>
  <si>
    <t>PROGRAM IDENTIFICATION</t>
  </si>
  <si>
    <t>Field</t>
  </si>
  <si>
    <t>Input</t>
  </si>
  <si>
    <t>Guidance</t>
  </si>
  <si>
    <t>Program Name</t>
  </si>
  <si>
    <t>Enter the official name of the health program</t>
  </si>
  <si>
    <t>Organisation / Funder</t>
  </si>
  <si>
    <t>Primary organisation or funding entity</t>
  </si>
  <si>
    <t>Country / Region</t>
  </si>
  <si>
    <t>Geographic scope of the program</t>
  </si>
  <si>
    <t>Sector</t>
  </si>
  <si>
    <t>e.g., Vaccine delivery, Primary healthcare, Research, Maternal health</t>
  </si>
  <si>
    <t>Program Start Date</t>
  </si>
  <si>
    <t>Format: MM/YYYY</t>
  </si>
  <si>
    <t>Program End Date</t>
  </si>
  <si>
    <t>Format: MM/YYYY (or 'Ongoing')</t>
  </si>
  <si>
    <t>Assessment Date</t>
  </si>
  <si>
    <t>Date this assessment is being completed</t>
  </si>
  <si>
    <t>Assessor Name</t>
  </si>
  <si>
    <t>Name of person completing this assessment</t>
  </si>
  <si>
    <t>Assessor Role</t>
  </si>
  <si>
    <t>e.g., Funder, Program Manager, Researcher, Government Official</t>
  </si>
  <si>
    <t>ACTOR MAPPING (Critical for Power Analysis)</t>
  </si>
  <si>
    <t>Primary Funder(s)</t>
  </si>
  <si>
    <t>List all major funding sources</t>
  </si>
  <si>
    <t>Implementing Partners</t>
  </si>
  <si>
    <t>Local and international implementing organisations</t>
  </si>
  <si>
    <t>Community Actors Involved</t>
  </si>
  <si>
    <t>Community groups, local leaders, beneficiary representatives</t>
  </si>
  <si>
    <t>Government Involvement</t>
  </si>
  <si>
    <t>Select: Yes - National / Yes - Subnational / No / Limited</t>
  </si>
  <si>
    <t>Government Role Description</t>
  </si>
  <si>
    <t>Describe the nature of government engagement</t>
  </si>
  <si>
    <t>PROGRAM CHARACTERISTICS</t>
  </si>
  <si>
    <t>Options</t>
  </si>
  <si>
    <t>Program Type</t>
  </si>
  <si>
    <t>Emergency Response / Long-term System Strengthening / Both</t>
  </si>
  <si>
    <t>Funding Model</t>
  </si>
  <si>
    <t>Grant / Partnership / Contractual / Mixed</t>
  </si>
  <si>
    <t>Program Scale</t>
  </si>
  <si>
    <t>Local / National / Regional / Global</t>
  </si>
  <si>
    <t>Budget Range (USD)</t>
  </si>
  <si>
    <t>&lt; 100K / 100K-1M / 1M-10M / 10M-100M / &gt; 100M</t>
  </si>
  <si>
    <t>Target Population Size</t>
  </si>
  <si>
    <t>Approximate number of direct beneficiaries</t>
  </si>
  <si>
    <t>SOLIDARITY PROFILE ASSESSMENT - DOMAIN-BASED ASSESSMENT</t>
  </si>
  <si>
    <t>Instructions: For each domain, provide a rating (1-5), respond to indicator prompts, document evidence, and indicate confidence level.</t>
  </si>
  <si>
    <t>RATING SCALE: 1=Emerging/Minimal | 2=Partial/Inconsistent | 3=Moderate/Developing | 4=Strong/Consistent | 5=Transformative/Exemplary</t>
  </si>
  <si>
    <t>D1: EQUITY &amp; JUSTICE</t>
  </si>
  <si>
    <t>Dimension: WHAT (Orientation)</t>
  </si>
  <si>
    <t>RATING (1-5):</t>
  </si>
  <si>
    <t>INDICATOR PROMPTS</t>
  </si>
  <si>
    <t>1. To what extent does the program prioritize the needs of marginalized or underserved populations?</t>
  </si>
  <si>
    <t>Response:</t>
  </si>
  <si>
    <t>2. Are resources distributed based on need rather than political or economic factors?</t>
  </si>
  <si>
    <t>3. Does the program address root causes of health inequities, not just symptoms?</t>
  </si>
  <si>
    <t>EVIDENCE</t>
  </si>
  <si>
    <t>Evidence Type:</t>
  </si>
  <si>
    <t>Evidence Summary:</t>
  </si>
  <si>
    <t>CONFIDENCE LEVEL:</t>
  </si>
  <si>
    <t>D2: COMMON GOOD ORIENTATION</t>
  </si>
  <si>
    <t>1. Does the program prioritize collective health outcomes over individual or organizational gains?</t>
  </si>
  <si>
    <t>2. Are public goods (knowledge, technologies) shared openly rather than restricted?</t>
  </si>
  <si>
    <t>3. Is the program designed to strengthen public health systems rather than parallel structures?</t>
  </si>
  <si>
    <t>D3: MUTUAL RESPONSIBILITY</t>
  </si>
  <si>
    <t>1. Are responsibilities and accountabilities clearly shared between all parties?</t>
  </si>
  <si>
    <t>2. Do all actors (funders, implementers, communities) bear appropriate shares of risk?</t>
  </si>
  <si>
    <t>3. Is there evidence of reciprocal obligations rather than one-way dependency?</t>
  </si>
  <si>
    <t>D4: POWER TRANSFORMATION</t>
  </si>
  <si>
    <t>Dimension: HOW (Process)</t>
  </si>
  <si>
    <t>1. To what extent are decision-making powers shared with local actors?</t>
  </si>
  <si>
    <t>2. Who sets priorities and controls funding allocation?</t>
  </si>
  <si>
    <t>3. Are there mechanisms to shift authority over time to local ownership?</t>
  </si>
  <si>
    <t>4. Is there evidence of addressing historical power imbalances?</t>
  </si>
  <si>
    <t>D5: INCLUSIVE PARTICIPATION</t>
  </si>
  <si>
    <t>1. Are affected communities meaningfully involved in program design?</t>
  </si>
  <si>
    <t>2. Do marginalized groups have genuine voice in decision-making (not just consultation)?</t>
  </si>
  <si>
    <t>3. Are participation mechanisms accessible and culturally appropriate?</t>
  </si>
  <si>
    <t>D6: TRANSPARENCY &amp; ACCOUNTABILITY</t>
  </si>
  <si>
    <t>1. Is information about funding, decisions, and outcomes openly accessible?</t>
  </si>
  <si>
    <t>2. Are there mechanisms for communities to hold implementing actors accountable?</t>
  </si>
  <si>
    <t>3. Is there honest reporting of failures and challenges, not just successes?</t>
  </si>
  <si>
    <t>D7: SUSTAINABILITY &amp; SOVEREIGNTY</t>
  </si>
  <si>
    <t>Dimension: TO WHAT END (Outcomes)</t>
  </si>
  <si>
    <t>1. Does the program strengthen local health system capacity for long-term sustainability?</t>
  </si>
  <si>
    <t>2. Is there a clear transition plan toward local ownership and control?</t>
  </si>
  <si>
    <t>3. Does the program respect and build upon national health priorities?</t>
  </si>
  <si>
    <t>D8: RELATIONAL TRUST</t>
  </si>
  <si>
    <t>1. Is there evidence of genuine partnership rather than donor-recipient dynamics?</t>
  </si>
  <si>
    <t>2. Are relationships characterized by mutual respect and learning?</t>
  </si>
  <si>
    <t>3. Has trust been built through consistent, reliable engagement over time?</t>
  </si>
  <si>
    <t>D9: TRANSFORMATIVE IMPACT</t>
  </si>
  <si>
    <t>1. Does the program contribute to systemic change beyond immediate health outcomes?</t>
  </si>
  <si>
    <t>2. Is there evidence of shifting norms, policies, or structures toward greater equity?</t>
  </si>
  <si>
    <t>3. Does the program challenge rather than reinforce existing inequities?</t>
  </si>
  <si>
    <t>SOLIDARITY INTEGRITY &amp; RISK ASSESSMENT</t>
  </si>
  <si>
    <t>Section 3: Cross-Cutting Checks to Identify Solidarity Gaps &amp; Contradictions</t>
  </si>
  <si>
    <t>1. ALIGNMENT CHECK</t>
  </si>
  <si>
    <t>Question</t>
  </si>
  <si>
    <t>Explanation (if applicable)</t>
  </si>
  <si>
    <t>Are there contradictions between program goals and other activities of the organisation?</t>
  </si>
  <si>
    <t>Does the funder's portfolio include activities that undermine the program's solidarity aims?</t>
  </si>
  <si>
    <t>Is there alignment between stated values and actual resource allocation?</t>
  </si>
  <si>
    <t>2. COST &amp; BURDEN DISTRIBUTION</t>
  </si>
  <si>
    <t>Who bears the primary burden of implementation costs?</t>
  </si>
  <si>
    <t>Are transaction costs (reporting, compliance) proportionate?</t>
  </si>
  <si>
    <t>Is there evidence of cost-shifting to local actors?</t>
  </si>
  <si>
    <t>Are indirect costs adequately covered?</t>
  </si>
  <si>
    <t>3. VOICE &amp; DECISION-MAKING REALITY</t>
  </si>
  <si>
    <t>What is the actual level of community involvement in decisions?</t>
  </si>
  <si>
    <t>Can community actors veto or substantially modify program design?</t>
  </si>
  <si>
    <t>Are there formal mechanisms for grievance and feedback?</t>
  </si>
  <si>
    <t>Has community input resulted in actual program changes?</t>
  </si>
  <si>
    <t>4. TYPE OF SOLIDARITY OBSERVED</t>
  </si>
  <si>
    <t>Type</t>
  </si>
  <si>
    <t>Select</t>
  </si>
  <si>
    <t>Description</t>
  </si>
  <si>
    <t>Evidence</t>
  </si>
  <si>
    <t>Symbolic / Rhetorical</t>
  </si>
  <si>
    <t>Solidarity language without substantive action</t>
  </si>
  <si>
    <t>Partial / Instrumental</t>
  </si>
  <si>
    <t>Solidarity as means to other ends</t>
  </si>
  <si>
    <t>Substantive / Relational</t>
  </si>
  <si>
    <t>Genuine mutual commitment and partnership</t>
  </si>
  <si>
    <t>Transformative</t>
  </si>
  <si>
    <t>Active dismantling of inequitable structures</t>
  </si>
  <si>
    <t>5. OVERALL INTEGRITY ASSESSMENT</t>
  </si>
  <si>
    <t>Risk Area</t>
  </si>
  <si>
    <t>Risk Level (Low/Med/High)</t>
  </si>
  <si>
    <t>Explanation</t>
  </si>
  <si>
    <t>Solidarity Washing Risk</t>
  </si>
  <si>
    <t>Power Imbalance Risk</t>
  </si>
  <si>
    <t>Sustainability Risk</t>
  </si>
  <si>
    <t>Inclusion Gap Risk</t>
  </si>
  <si>
    <t>SOLIDARITY PROFILE ASSESSMENT - REFERENCE GUIDE</t>
  </si>
  <si>
    <t>FRAMEWORK OVERVIEW</t>
  </si>
  <si>
    <t>Purpose:</t>
  </si>
  <si>
    <t>Approach:</t>
  </si>
  <si>
    <t>Users:</t>
  </si>
  <si>
    <t>Funders, Program Analysts/Managers, Government Entities, Researchers</t>
  </si>
  <si>
    <t>THE THREE DIMENSIONS</t>
  </si>
  <si>
    <t>Dimension</t>
  </si>
  <si>
    <t>Code</t>
  </si>
  <si>
    <t>Focus</t>
  </si>
  <si>
    <t>Domains</t>
  </si>
  <si>
    <t>WHAT (Orientation)</t>
  </si>
  <si>
    <t>WHAT</t>
  </si>
  <si>
    <t>What values and principles guide the program?</t>
  </si>
  <si>
    <t>D1-D3</t>
  </si>
  <si>
    <t>HOW (Process)</t>
  </si>
  <si>
    <t>HOW</t>
  </si>
  <si>
    <t>How is the program designed and implemented?</t>
  </si>
  <si>
    <t>D4-D6</t>
  </si>
  <si>
    <t>TO WHAT END (Outcomes)</t>
  </si>
  <si>
    <t>END</t>
  </si>
  <si>
    <t>What outcomes and impacts does it seek?</t>
  </si>
  <si>
    <t>D7-D9</t>
  </si>
  <si>
    <t>CALCULATIONS - DATA PROCESSING LAYER</t>
  </si>
  <si>
    <t>This sheet extracts and processes data from input sheets for the Dashboard</t>
  </si>
  <si>
    <t>DOMAIN RATINGS EXTRACTION</t>
  </si>
  <si>
    <t>Domain</t>
  </si>
  <si>
    <t>Rating</t>
  </si>
  <si>
    <t>Confidence</t>
  </si>
  <si>
    <t>Conf_Value</t>
  </si>
  <si>
    <t>D1: Equity &amp; Justice</t>
  </si>
  <si>
    <t>D1</t>
  </si>
  <si>
    <t>D2: Common Good Orientation</t>
  </si>
  <si>
    <t>D2</t>
  </si>
  <si>
    <t>D3: Mutual Responsibility</t>
  </si>
  <si>
    <t>D3</t>
  </si>
  <si>
    <t>D4: Power Transformation</t>
  </si>
  <si>
    <t>D4</t>
  </si>
  <si>
    <t>D5: Inclusive Participation</t>
  </si>
  <si>
    <t>D5</t>
  </si>
  <si>
    <t>D6: Transparency &amp; Accountability</t>
  </si>
  <si>
    <t>D6</t>
  </si>
  <si>
    <t>D7: Sustainability &amp; Sovereignty</t>
  </si>
  <si>
    <t>D7</t>
  </si>
  <si>
    <t>D8: Relational Trust</t>
  </si>
  <si>
    <t>D8</t>
  </si>
  <si>
    <t>D9: Transformative Impact</t>
  </si>
  <si>
    <t>D9</t>
  </si>
  <si>
    <t>DIMENSION AGGREGATIONS</t>
  </si>
  <si>
    <t>Avg Rating</t>
  </si>
  <si>
    <t>Rating Level</t>
  </si>
  <si>
    <t>Avg Confidence</t>
  </si>
  <si>
    <t>Domains Assessed</t>
  </si>
  <si>
    <t>OVERALL METRICS</t>
  </si>
  <si>
    <t>Metric</t>
  </si>
  <si>
    <t>Value</t>
  </si>
  <si>
    <t>Overall Average Rating</t>
  </si>
  <si>
    <t>Average Confidence</t>
  </si>
  <si>
    <t>Lowest Domain Rating</t>
  </si>
  <si>
    <t>Highest Domain Rating</t>
  </si>
  <si>
    <t>INTEGRITY RISK EXTRACTION</t>
  </si>
  <si>
    <t>Risk Level</t>
  </si>
  <si>
    <t>Risk Value</t>
  </si>
  <si>
    <t>SOLIDARITY TYPE IDENTIFICATION</t>
  </si>
  <si>
    <t>Selected</t>
  </si>
  <si>
    <t>PROGRAM CONTEXT EXTRACTION</t>
  </si>
  <si>
    <t>Organisation</t>
  </si>
  <si>
    <t>Country/Region</t>
  </si>
  <si>
    <t>Scale</t>
  </si>
  <si>
    <t>Assessor</t>
  </si>
  <si>
    <t>SOLIDARITY PROFILE ASSESSMENT DASHBOARD</t>
  </si>
  <si>
    <t>PROGRAM SUMMARY</t>
  </si>
  <si>
    <t>Organisation:</t>
  </si>
  <si>
    <t>Sector:</t>
  </si>
  <si>
    <t>Scale:</t>
  </si>
  <si>
    <t>Assessor:</t>
  </si>
  <si>
    <t>Overall Confidence:</t>
  </si>
  <si>
    <t>Assessment Status:</t>
  </si>
  <si>
    <t>DIMENSION PROFILE</t>
  </si>
  <si>
    <t>Level</t>
  </si>
  <si>
    <t>DOMAIN RATINGS</t>
  </si>
  <si>
    <t>D2: Common Good</t>
  </si>
  <si>
    <t>D6: Transparency</t>
  </si>
  <si>
    <t>D7: Sustainability</t>
  </si>
  <si>
    <t>KEY INSIGHTS</t>
  </si>
  <si>
    <t>Insight Type</t>
  </si>
  <si>
    <t>Finding</t>
  </si>
  <si>
    <t>Strongest Area</t>
  </si>
  <si>
    <t>Area for Growth</t>
  </si>
  <si>
    <t>Rating Gap</t>
  </si>
  <si>
    <t>NARRATIVE SUMMARY</t>
  </si>
  <si>
    <t>Solidaristic Funding Fit?</t>
  </si>
  <si>
    <t>VISUAL RATING BARS</t>
  </si>
  <si>
    <t>Rating (1-5)</t>
  </si>
  <si>
    <t>Visual</t>
  </si>
  <si>
    <t>HOW TO USE THIS TOOL</t>
  </si>
  <si>
    <t>Step 1:</t>
  </si>
  <si>
    <t>Complete Input_Context sheet with program details</t>
  </si>
  <si>
    <t>Step 2:</t>
  </si>
  <si>
    <t>For each domain in Input_Domains, provide rating, responses to prompts, evidence, and confidence</t>
  </si>
  <si>
    <t>Step 3:</t>
  </si>
  <si>
    <t>Complete Input_Integrity sheet to identify risks and solidarity type</t>
  </si>
  <si>
    <t>Step 4:</t>
  </si>
  <si>
    <t>Review Dashboard for synthesized results and insights</t>
  </si>
  <si>
    <t>Step 5:</t>
  </si>
  <si>
    <t>Use narrative summary and decision support for reporting and decision-making</t>
  </si>
  <si>
    <t>INTERPRETATION GUIDANCE</t>
  </si>
  <si>
    <t>Pattern</t>
  </si>
  <si>
    <t>Interpretation</t>
  </si>
  <si>
    <t>Recommendation</t>
  </si>
  <si>
    <t>High WHAT, Low HOW</t>
  </si>
  <si>
    <t>Strong values but weak implementation</t>
  </si>
  <si>
    <t>Focus on power-sharing and participation mechanisms</t>
  </si>
  <si>
    <t>High HOW, Low END</t>
  </si>
  <si>
    <t>Good process but limited impact</t>
  </si>
  <si>
    <t>Strengthen sustainability and transformation focus</t>
  </si>
  <si>
    <t>Uneven domain ratings</t>
  </si>
  <si>
    <t>Inconsistent solidarity expression</t>
  </si>
  <si>
    <t>Address specific weak domains</t>
  </si>
  <si>
    <t>Low confidence overall</t>
  </si>
  <si>
    <t>Assessment needs strengthening</t>
  </si>
  <si>
    <t>Gather more evidence before conclusions</t>
  </si>
  <si>
    <t>High risk flags</t>
  </si>
  <si>
    <t>Potential solidarity gaps</t>
  </si>
  <si>
    <t>Investigate contradictions and address root causes</t>
  </si>
  <si>
    <t>IMPORTANT NOTES</t>
  </si>
  <si>
    <t>• This tool generates a PROFILE, not a score. Avoid reducing results to a single number.</t>
  </si>
  <si>
    <t>• Context matters: Programs should be assessed within their specific circumstances.</t>
  </si>
  <si>
    <t>• The tool reveals tensions and contradictions - these are valuable insights, not failures.</t>
  </si>
  <si>
    <t>• Evidence quality affects reliability - flag low confidence areas in reporting.</t>
  </si>
  <si>
    <t>• Use for learning and improvement, not just judgment or ranking.</t>
  </si>
  <si>
    <t>ReadMe &amp; Documentation</t>
  </si>
  <si>
    <t>ABOUT THIS TOOL</t>
  </si>
  <si>
    <t>Target Users:</t>
  </si>
  <si>
    <t>• Funders and donors evaluating programs for solidarity alignment</t>
  </si>
  <si>
    <t>• Program analysts and managers conducting self-assessments</t>
  </si>
  <si>
    <t>• Government entities assessing partner programs</t>
  </si>
  <si>
    <t>• Researchers studying global health equity and solidarity</t>
  </si>
  <si>
    <t>• Civil society organizations monitoring health initiatives</t>
  </si>
  <si>
    <t>RATIONALE</t>
  </si>
  <si>
    <t>Why This Tool?:</t>
  </si>
  <si>
    <t>THEORETICAL FRAMEWORK</t>
  </si>
  <si>
    <t>Three Dimensions:</t>
  </si>
  <si>
    <t>The tool organizes assessment around three core questions:</t>
  </si>
  <si>
    <t>What values guide the program?</t>
  </si>
  <si>
    <t>Equity, common good, mutual responsibility</t>
  </si>
  <si>
    <t>How is the program implemented?</t>
  </si>
  <si>
    <t>Power, participation, transparency</t>
  </si>
  <si>
    <t>What outcomes does it seek?</t>
  </si>
  <si>
    <t>Sustainability, trust, transformation</t>
  </si>
  <si>
    <t>Nine Domains:</t>
  </si>
  <si>
    <t>Key Question</t>
  </si>
  <si>
    <t>Prioritization of marginalized populations</t>
  </si>
  <si>
    <t>Who benefits? Are resources distributed by need?</t>
  </si>
  <si>
    <t>Focus on collective health outcomes</t>
  </si>
  <si>
    <t>Are public goods shared openly?</t>
  </si>
  <si>
    <t>Shared accountabilities between parties</t>
  </si>
  <si>
    <t>Who bears risk? Is there reciprocity?</t>
  </si>
  <si>
    <t>Redistribution of decision-making authority</t>
  </si>
  <si>
    <t>Who decides? Who controls resources?</t>
  </si>
  <si>
    <t>Meaningful community involvement</t>
  </si>
  <si>
    <t>Are communities co-deciding or just consulted?</t>
  </si>
  <si>
    <t>Open information and accountability</t>
  </si>
  <si>
    <t>Can communities hold actors accountable?</t>
  </si>
  <si>
    <t>Building lasting local capacity</t>
  </si>
  <si>
    <t>Will impact continue? Is ownership growing?</t>
  </si>
  <si>
    <t>Quality of relationships and respect</t>
  </si>
  <si>
    <t>Is there mutual respect? Commitments honored?</t>
  </si>
  <si>
    <t>Dismantling inequitable structures</t>
  </si>
  <si>
    <t>Does it challenge root causes?</t>
  </si>
  <si>
    <t>METHODOLOGY</t>
  </si>
  <si>
    <t>MIXED-METHODS combining quantitative ratings and qualitative evidence</t>
  </si>
  <si>
    <t>• Semi-quantitative ratings (1-5 scale) for structured comparison</t>
  </si>
  <si>
    <t>• Qualitative indicator prompts to preserve nuance</t>
  </si>
  <si>
    <t>• Evidence documentation to ground assessments in reality</t>
  </si>
  <si>
    <t>• Confidence levels to signal uncertainty</t>
  </si>
  <si>
    <t>• Integrity checks to detect contradictions and risks</t>
  </si>
  <si>
    <t>Rating Scale:</t>
  </si>
  <si>
    <t>Emerging/Minimal</t>
  </si>
  <si>
    <t>Little evidence of solidarity dimension</t>
  </si>
  <si>
    <t>Partial/Inconsistent</t>
  </si>
  <si>
    <t>Some elements but notable gaps</t>
  </si>
  <si>
    <t>Moderate/Developing</t>
  </si>
  <si>
    <t>Clear effort but not yet embedded</t>
  </si>
  <si>
    <t>Strong/Consistent</t>
  </si>
  <si>
    <t>Robust expression embedded in practice</t>
  </si>
  <si>
    <t>Transformative/Exemplary</t>
  </si>
  <si>
    <t>Exceptional, advances solidarity beyond scope</t>
  </si>
  <si>
    <t>SHEET DESCRIPTIONS</t>
  </si>
  <si>
    <t>Sheet</t>
  </si>
  <si>
    <t>Purpose</t>
  </si>
  <si>
    <t>Contents</t>
  </si>
  <si>
    <t>Dashboard</t>
  </si>
  <si>
    <t>Summary view of results</t>
  </si>
  <si>
    <t>Metrics, visual ratings, risk flags, narrative</t>
  </si>
  <si>
    <t>Input_Context</t>
  </si>
  <si>
    <t>Capture program metadata</t>
  </si>
  <si>
    <t>Program ID, actors, characteristics</t>
  </si>
  <si>
    <t>Input_Domains</t>
  </si>
  <si>
    <t>Core solidarity assessment</t>
  </si>
  <si>
    <t>9 domains with ratings, prompts, evidence</t>
  </si>
  <si>
    <t>Input_Integrity</t>
  </si>
  <si>
    <t>Risk assessment</t>
  </si>
  <si>
    <t>Alignment checks, voice analysis, risks</t>
  </si>
  <si>
    <t>Reference</t>
  </si>
  <si>
    <t>Framework guide</t>
  </si>
  <si>
    <t>Definitions, scales, interpretation</t>
  </si>
  <si>
    <t>Backend processing</t>
  </si>
  <si>
    <t>Formulas (do not modify)</t>
  </si>
  <si>
    <t>Documentation</t>
  </si>
  <si>
    <t>This sheet - overview and rationale</t>
  </si>
  <si>
    <t>User guide</t>
  </si>
  <si>
    <t>Step-by-step instructions</t>
  </si>
  <si>
    <t>This tool generates a PROFILE, not a score. Do not reduce to single numbers.</t>
  </si>
  <si>
    <t>Context matters. Compare programs within similar circumstances only.</t>
  </si>
  <si>
    <t>Tensions revealed are insights for learning, not failures to hide.</t>
  </si>
  <si>
    <t>Evidence quality affects reliability. Flag low confidence in reporting.</t>
  </si>
  <si>
    <t>Self-assessments may carry bias. Triangulate with external perspectives.</t>
  </si>
  <si>
    <t>Use for LEARNING and IMPROVEMENT, not just judgment.</t>
  </si>
  <si>
    <t>The tool cannot capture all dimensions - local knowledge remains essential.</t>
  </si>
  <si>
    <t>HOW TO USE THE SOLIDARITY PROFILE ASSESSMENT TOOL</t>
  </si>
  <si>
    <t>Step-by-Step User Guide</t>
  </si>
  <si>
    <t>OVERVIEW OF THE ASSESSMENT PROCESS</t>
  </si>
  <si>
    <t>Step</t>
  </si>
  <si>
    <t>Action</t>
  </si>
  <si>
    <t>Gather background documents and evidence</t>
  </si>
  <si>
    <t>N/A (Preparation)</t>
  </si>
  <si>
    <t>1-2 hours</t>
  </si>
  <si>
    <t>Complete program context information</t>
  </si>
  <si>
    <t>15-30 minutes</t>
  </si>
  <si>
    <t>Assess all 9 solidarity domains</t>
  </si>
  <si>
    <t>2-4 hours</t>
  </si>
  <si>
    <t>Complete integrity and risk checks</t>
  </si>
  <si>
    <t>30-60 minutes</t>
  </si>
  <si>
    <t>Review auto-generated results</t>
  </si>
  <si>
    <t>Interpret and document findings</t>
  </si>
  <si>
    <t>Dashboard + Reference</t>
  </si>
  <si>
    <t>STEP 0: PREPARATION - BEFORE YOU BEGIN</t>
  </si>
  <si>
    <t>Gather These Materials:</t>
  </si>
  <si>
    <t>Document Type</t>
  </si>
  <si>
    <t>Why It's Needed</t>
  </si>
  <si>
    <t>Where to Find It</t>
  </si>
  <si>
    <t>Program proposal/design documents</t>
  </si>
  <si>
    <t>Understanding stated goals and approach</t>
  </si>
  <si>
    <t>Funder/implementing organization files</t>
  </si>
  <si>
    <t>Budget and financial reports</t>
  </si>
  <si>
    <t>Analyzing resource allocation and cost distribution</t>
  </si>
  <si>
    <t>Finance department, grant reports</t>
  </si>
  <si>
    <t>Monitoring &amp; evaluation reports</t>
  </si>
  <si>
    <t>Evidence of outcomes and implementation</t>
  </si>
  <si>
    <t>M&amp;E team, program reports</t>
  </si>
  <si>
    <t>Meeting minutes/governance records</t>
  </si>
  <si>
    <t>Understanding decision-making processes</t>
  </si>
  <si>
    <t>Program management, steering committees</t>
  </si>
  <si>
    <t>Community feedback/consultation records</t>
  </si>
  <si>
    <t>Evidence of participation and voice</t>
  </si>
  <si>
    <t>Community liaison, field reports</t>
  </si>
  <si>
    <t>Partnership agreements/MOUs</t>
  </si>
  <si>
    <t>Understanding roles and responsibilities</t>
  </si>
  <si>
    <t>Legal/contracts, partner organizations</t>
  </si>
  <si>
    <t>Previous evaluations or reviews</t>
  </si>
  <si>
    <t>Historical context and identified issues</t>
  </si>
  <si>
    <t>Evaluation archives, donor reports</t>
  </si>
  <si>
    <t>Key Informants to Consult:</t>
  </si>
  <si>
    <t>• Program managers and coordinators</t>
  </si>
  <si>
    <t>• Community representatives and beneficiaries</t>
  </si>
  <si>
    <t>• Local implementing partners</t>
  </si>
  <si>
    <t>• Government counterparts (if applicable)</t>
  </si>
  <si>
    <t>• Funder representatives</t>
  </si>
  <si>
    <t>SHEET 1: INPUT_CONTEXT - Program Metadata</t>
  </si>
  <si>
    <t>Establishes the context for interpretation. Without this, results cannot be properly understood or compared.</t>
  </si>
  <si>
    <t>Why It Matters</t>
  </si>
  <si>
    <t>How to Complete</t>
  </si>
  <si>
    <t>Data Source</t>
  </si>
  <si>
    <t>Identification and tracking</t>
  </si>
  <si>
    <t>Enter official program name</t>
  </si>
  <si>
    <t>Program documents</t>
  </si>
  <si>
    <t>Organisation/Funder</t>
  </si>
  <si>
    <t>Understanding power dynamics</t>
  </si>
  <si>
    <t>Primary funding/implementing org</t>
  </si>
  <si>
    <t>Grant agreements</t>
  </si>
  <si>
    <t>Contextual interpretation</t>
  </si>
  <si>
    <t>Geographic scope of activities</t>
  </si>
  <si>
    <t>Sector-specific considerations</t>
  </si>
  <si>
    <t>e.g., Vaccine delivery, PHC, Research</t>
  </si>
  <si>
    <t>Program description</t>
  </si>
  <si>
    <t>Start/End Dates</t>
  </si>
  <si>
    <t>Program maturity assessment</t>
  </si>
  <si>
    <t>Format: MM/YYYY or 'Ongoing'</t>
  </si>
  <si>
    <t>Tracking when assessment done</t>
  </si>
  <si>
    <t>Date of this assessment</t>
  </si>
  <si>
    <t>Current date</t>
  </si>
  <si>
    <t>Assessor Name/Role</t>
  </si>
  <si>
    <t>Accountability and perspective</t>
  </si>
  <si>
    <t>Your name and position</t>
  </si>
  <si>
    <t>Self-reported</t>
  </si>
  <si>
    <t>Actor Mapping (CRITICAL):</t>
  </si>
  <si>
    <t>This section reveals power dynamics - who has authority, resources, and voice.</t>
  </si>
  <si>
    <t>Primary Funders</t>
  </si>
  <si>
    <t>Follow the money to understand influence</t>
  </si>
  <si>
    <t>List ALL major funding sources</t>
  </si>
  <si>
    <t>Financial reports</t>
  </si>
  <si>
    <t>Who does the work on ground?</t>
  </si>
  <si>
    <t>Local and international orgs</t>
  </si>
  <si>
    <t>Partnership agreements</t>
  </si>
  <si>
    <t>Community Actors</t>
  </si>
  <si>
    <t>Who represents affected populations?</t>
  </si>
  <si>
    <t>Community groups, local leaders</t>
  </si>
  <si>
    <t>Stakeholder mapping</t>
  </si>
  <si>
    <t>State role and engagement</t>
  </si>
  <si>
    <t>Select level and describe role</t>
  </si>
  <si>
    <t>MOUs, govt correspondence</t>
  </si>
  <si>
    <t>Program Characteristics:</t>
  </si>
  <si>
    <t>Determines appropriate comparison frame and expectations.</t>
  </si>
  <si>
    <t>Emergency vs long-term have different solidarity expressions</t>
  </si>
  <si>
    <t>Select from dropdown</t>
  </si>
  <si>
    <t>Program design docs</t>
  </si>
  <si>
    <t>Grant vs partnership affects power dynamics</t>
  </si>
  <si>
    <t>Agreements</t>
  </si>
  <si>
    <t>Local programs differ from global initiatives</t>
  </si>
  <si>
    <t>Program scope docs</t>
  </si>
  <si>
    <t>Budget Range</t>
  </si>
  <si>
    <t>Resource level affects what's possible</t>
  </si>
  <si>
    <t>Select range from dropdown</t>
  </si>
  <si>
    <t>Budget documents</t>
  </si>
  <si>
    <t>SHEET 2: INPUT_DOMAINS - Core Solidarity Assessment</t>
  </si>
  <si>
    <t>This is the HEART of the assessment. Rate each of 9 domains with evidence-based justification.</t>
  </si>
  <si>
    <t>For EACH Domain, Complete:</t>
  </si>
  <si>
    <t>Component</t>
  </si>
  <si>
    <t>What to Enter</t>
  </si>
  <si>
    <t>Tips</t>
  </si>
  <si>
    <t>RATING (1-5)</t>
  </si>
  <si>
    <t>Select rating from dropdown</t>
  </si>
  <si>
    <t>Enables structured comparison</t>
  </si>
  <si>
    <t>Be honest - 3 is acceptable!</t>
  </si>
  <si>
    <t>Indicator Prompts</t>
  </si>
  <si>
    <t>Answer each guiding question</t>
  </si>
  <si>
    <t>Forces systematic thinking</t>
  </si>
  <si>
    <t>Use evidence, not assumptions</t>
  </si>
  <si>
    <t>Evidence Type</t>
  </si>
  <si>
    <t>Select type: Documents/Interviews/Observations/Multiple</t>
  </si>
  <si>
    <t>Grounds assessment in reality</t>
  </si>
  <si>
    <t>Multiple sources = stronger</t>
  </si>
  <si>
    <t>Evidence Summary</t>
  </si>
  <si>
    <t>Describe the evidence supporting your rating</t>
  </si>
  <si>
    <t>Audit trail for credibility</t>
  </si>
  <si>
    <t>Be specific - cite sources</t>
  </si>
  <si>
    <t>Confidence Level</t>
  </si>
  <si>
    <t>Select: Low/Medium/High</t>
  </si>
  <si>
    <t>Signals assessment reliability</t>
  </si>
  <si>
    <t>Low confidence is valuable data</t>
  </si>
  <si>
    <t>Rating Guidance:</t>
  </si>
  <si>
    <t>When to Use</t>
  </si>
  <si>
    <t>Evidence Needed</t>
  </si>
  <si>
    <t>1 - Emerging</t>
  </si>
  <si>
    <t>Little/no evidence; possibly contrary to solidarity</t>
  </si>
  <si>
    <t>Absence of evidence or contrary evidence</t>
  </si>
  <si>
    <t>2 - Partial</t>
  </si>
  <si>
    <t>Some elements but inconsistent; notable gaps</t>
  </si>
  <si>
    <t>Mixed or incomplete evidence</t>
  </si>
  <si>
    <t>3 - Moderate</t>
  </si>
  <si>
    <t>Clear effort; developing but not embedded</t>
  </si>
  <si>
    <t>Evidence of intention and some action</t>
  </si>
  <si>
    <t>4 - Strong</t>
  </si>
  <si>
    <t>Robust expression; embedded in practice</t>
  </si>
  <si>
    <t>Consistent evidence across multiple sources</t>
  </si>
  <si>
    <t>5 - Transformative</t>
  </si>
  <si>
    <t>Exceptional; advances solidarity beyond program</t>
  </si>
  <si>
    <t>Strong evidence of systemic impact</t>
  </si>
  <si>
    <t>Domain-Specific Guidance:</t>
  </si>
  <si>
    <t>Key Evidence to Look For</t>
  </si>
  <si>
    <t>Red Flags</t>
  </si>
  <si>
    <t>Targeting criteria, resource allocation data, disaggregated outcomes</t>
  </si>
  <si>
    <t>Elite capture, political allocation, neglected populations</t>
  </si>
  <si>
    <t>Public vs private benefit balance, knowledge sharing, system strengthening</t>
  </si>
  <si>
    <t>Private gain prioritized, parallel systems created</t>
  </si>
  <si>
    <t>Risk-sharing arrangements, accountability mechanisms, reciprocity</t>
  </si>
  <si>
    <t>One-way dependency, all risk on local actors</t>
  </si>
  <si>
    <t>Decision-making records, budget control, authority transitions</t>
  </si>
  <si>
    <t>All decisions made externally, no local control</t>
  </si>
  <si>
    <t>Consultation records, community governance roles, accessibility</t>
  </si>
  <si>
    <t>Token consultation, excluded groups, inaccessible processes</t>
  </si>
  <si>
    <t>Information accessibility, accountability mechanisms, honest reporting</t>
  </si>
  <si>
    <t>Hidden information, no feedback loops, only success stories</t>
  </si>
  <si>
    <t>Capacity building plans, transition strategies, local ownership growth</t>
  </si>
  <si>
    <t>No exit plan, dependency creation, parallel structures</t>
  </si>
  <si>
    <t>Relationship quality indicators, conflict resolution, commitment follow-through</t>
  </si>
  <si>
    <t>Broken promises, disrespectful interactions, mistrust</t>
  </si>
  <si>
    <t>System change evidence, root cause addressing, structural shifts</t>
  </si>
  <si>
    <t>Treating symptoms only, maintaining status quo</t>
  </si>
  <si>
    <t>SHEET 3: INPUT_INTEGRITY - Risk &amp; Contradiction Assessment</t>
  </si>
  <si>
    <t>Detects hidden dynamics that domain scores might miss - especially 'solidarity washing' and power imbalances.</t>
  </si>
  <si>
    <t>Section</t>
  </si>
  <si>
    <t>What to Assess</t>
  </si>
  <si>
    <t>How to Investigate</t>
  </si>
  <si>
    <t>1. Alignment Check</t>
  </si>
  <si>
    <t>Contradictions between goals and other org activities</t>
  </si>
  <si>
    <t>Reveals organizational hypocrisy</t>
  </si>
  <si>
    <t>Review funder's full portfolio</t>
  </si>
  <si>
    <t>2. Cost Distribution</t>
  </si>
  <si>
    <t>Who bears implementation burdens</t>
  </si>
  <si>
    <t>Hidden extraction and cost-shifting</t>
  </si>
  <si>
    <t>Analyze indirect cost coverage</t>
  </si>
  <si>
    <t>3. Voice &amp; Decision Reality</t>
  </si>
  <si>
    <t>Actual vs stated community involvement</t>
  </si>
  <si>
    <t>Distinguishes real from token participation</t>
  </si>
  <si>
    <t>Interview community actors</t>
  </si>
  <si>
    <t>4. Solidarity Type</t>
  </si>
  <si>
    <t>Classify the overall solidarity expression</t>
  </si>
  <si>
    <t>Provides summary characterization</t>
  </si>
  <si>
    <t>Synthesize all evidence</t>
  </si>
  <si>
    <t>5. Risk Assessment</t>
  </si>
  <si>
    <t>Rate risks in 4 key areas</t>
  </si>
  <si>
    <t>Flags concerns for attention</t>
  </si>
  <si>
    <t>Based on all prior sections</t>
  </si>
  <si>
    <t>Solidarity Types Explained:</t>
  </si>
  <si>
    <t>Indicators</t>
  </si>
  <si>
    <t>Symbolic/Rhetorical</t>
  </si>
  <si>
    <t>Nice words, no resource shift, power unchanged</t>
  </si>
  <si>
    <t>Partial/Instrumental</t>
  </si>
  <si>
    <t>Some action but serving funder interests primarily</t>
  </si>
  <si>
    <t>Substantive/Relational</t>
  </si>
  <si>
    <t>Real power sharing, mutual accountability, trust</t>
  </si>
  <si>
    <t>System change, challenging root causes, decolonizing</t>
  </si>
  <si>
    <t>Risk Level Guidance:</t>
  </si>
  <si>
    <t>Low</t>
  </si>
  <si>
    <t>Medium</t>
  </si>
  <si>
    <t>High</t>
  </si>
  <si>
    <t>Solidarity Washing</t>
  </si>
  <si>
    <t>Actions match rhetoric</t>
  </si>
  <si>
    <t>Some gaps between words/actions</t>
  </si>
  <si>
    <t>Major contradictions evident</t>
  </si>
  <si>
    <t>Power Imbalance</t>
  </si>
  <si>
    <t>Genuine power sharing</t>
  </si>
  <si>
    <t>Some local authority but limited</t>
  </si>
  <si>
    <t>External actors dominate</t>
  </si>
  <si>
    <t>Sustainability</t>
  </si>
  <si>
    <t>Strong local ownership growing</t>
  </si>
  <si>
    <t>Some capacity but dependent</t>
  </si>
  <si>
    <t>No transition plan, dependency</t>
  </si>
  <si>
    <t>Inclusion Gap</t>
  </si>
  <si>
    <t>Marginalized groups centered</t>
  </si>
  <si>
    <t>Included but not leading</t>
  </si>
  <si>
    <t>Key groups excluded</t>
  </si>
  <si>
    <t>SHEET 4: DASHBOARD - Interpreting Results</t>
  </si>
  <si>
    <t>Auto-generated summary of your assessment. Use for reporting and decision-making.</t>
  </si>
  <si>
    <t>Dashboard Section</t>
  </si>
  <si>
    <t>What It Shows</t>
  </si>
  <si>
    <t>How to Interpret</t>
  </si>
  <si>
    <t>Program Summary</t>
  </si>
  <si>
    <t>Basic program info pulled from Input_Context</t>
  </si>
  <si>
    <t>Verify accuracy</t>
  </si>
  <si>
    <t>Domain Ratings</t>
  </si>
  <si>
    <t>All 9 domain ratings with levels</t>
  </si>
  <si>
    <t>Look for patterns - are some dimensions weaker?</t>
  </si>
  <si>
    <t>Dimension Profile</t>
  </si>
  <si>
    <t>WHAT/HOW/END averages</t>
  </si>
  <si>
    <t>Identifies which dimension needs most attention</t>
  </si>
  <si>
    <t>Risk Flags</t>
  </si>
  <si>
    <t>Color-coded risk alerts</t>
  </si>
  <si>
    <t>Red = urgent attention; Green = lower concern</t>
  </si>
  <si>
    <t>Solidarity Type</t>
  </si>
  <si>
    <t>Type selected in Input_Integrity</t>
  </si>
  <si>
    <t>Overall characterization of solidarity expression</t>
  </si>
  <si>
    <t>Key Insights</t>
  </si>
  <si>
    <t>Strongest/weakest areas, rating gaps</t>
  </si>
  <si>
    <t>Prioritize based on these findings</t>
  </si>
  <si>
    <t>Visual Rating Bars</t>
  </si>
  <si>
    <t>Graphical representation of ratings</t>
  </si>
  <si>
    <t>Quick visual of profile shape</t>
  </si>
  <si>
    <t>Narrative Summary</t>
  </si>
  <si>
    <t>Auto-generated text summary</t>
  </si>
  <si>
    <t>Use as starting point for reports</t>
  </si>
  <si>
    <t>Decision Support</t>
  </si>
  <si>
    <t>Funding fit assessment</t>
  </si>
  <si>
    <t>Guidance only - use with context</t>
  </si>
  <si>
    <t>Important:</t>
  </si>
  <si>
    <t>The Dashboard updates AUTOMATICALLY as you complete input sheets. Do not edit Dashboard directly.</t>
  </si>
  <si>
    <t>TIPS FOR QUALITY ASSESSMENT</t>
  </si>
  <si>
    <t>DO:</t>
  </si>
  <si>
    <t>• Use multiple evidence sources for each domain</t>
  </si>
  <si>
    <t>• Be honest about low confidence - it's valuable information</t>
  </si>
  <si>
    <t>• Include both strengths AND weaknesses in evidence summaries</t>
  </si>
  <si>
    <t>• Consult diverse stakeholders, especially community actors</t>
  </si>
  <si>
    <t>• Note tensions and contradictions - they are insights</t>
  </si>
  <si>
    <t>• Revisit and update assessments as programs evolve</t>
  </si>
  <si>
    <t>DON'T:</t>
  </si>
  <si>
    <t>• Inflate ratings without evidence</t>
  </si>
  <si>
    <t>• Ignore uncomfortable findings</t>
  </si>
  <si>
    <t>• Compare programs without considering context</t>
  </si>
  <si>
    <t>• Use results to punish rather than improve</t>
  </si>
  <si>
    <t>• Treat the tool as a compliance checklist</t>
  </si>
  <si>
    <t>Questions? Review the Reference sheet for definitions and interpretation guidance.</t>
  </si>
  <si>
    <t>Paul Ongboche</t>
  </si>
  <si>
    <t>COP planning documents, Partner agreements, NACA transition strategy, March 2026 Nairobi workshop proceedings</t>
  </si>
  <si>
    <t>UNAIDS estimates, NAIIS 2018, Program cascade data, Stigma index surveys</t>
  </si>
  <si>
    <t>Med</t>
  </si>
  <si>
    <t>SAMPLE ASSESSMENT: PEPFAR Nigeria HIV Treatment &amp; Prevention Program</t>
  </si>
  <si>
    <t>Date:</t>
  </si>
  <si>
    <t>Program:</t>
  </si>
  <si>
    <t>PEPFAR Nigeria HIV Treatment &amp; Prevention</t>
  </si>
  <si>
    <t>Country:</t>
  </si>
  <si>
    <t>Nigeria (Multi-State)</t>
  </si>
  <si>
    <t>Period:</t>
  </si>
  <si>
    <t>2021-2025</t>
  </si>
  <si>
    <t>KEY FINDINGS - PEPFAR NIGERIA</t>
  </si>
  <si>
    <t>STRENGTHS:</t>
  </si>
  <si>
    <t>• Strong equity focus on high-burden states and vulnerable populations</t>
  </si>
  <si>
    <t>• Robust M&amp;E systems and shared accountability mechanisms</t>
  </si>
  <si>
    <t>• Significant systems strengthening (CHIPS, laboratory networks)</t>
  </si>
  <si>
    <t>• 95% viral suppression among adults on treatment</t>
  </si>
  <si>
    <t>GAPS:</t>
  </si>
  <si>
    <t>• Heavy donor dependency (81% external funding)</t>
  </si>
  <si>
    <t>• Limited power transformation - priorities set by funders</t>
  </si>
  <si>
    <t>• Sustainability risks exposed by 2025 USAID funding freeze</t>
  </si>
  <si>
    <t>• Legal barriers to inclusive KP programming</t>
  </si>
  <si>
    <t>TENSIONS:</t>
  </si>
  <si>
    <t>• Health outcomes strong BUT local ownership weak</t>
  </si>
  <si>
    <t>• Equity in targeting BUT exclusion of KP due to legal environment</t>
  </si>
  <si>
    <t>• Technical solidarity strong BUT structural solidarity limited</t>
  </si>
  <si>
    <t>SOLIDARITY PROFILE SUMMARY</t>
  </si>
  <si>
    <t>TO WHAT END</t>
  </si>
  <si>
    <t>DIMENSION AVERAGES</t>
  </si>
  <si>
    <t>WHAT (Equity, Inclusivity, Justice)</t>
  </si>
  <si>
    <t>HOW (Reciprocity, Accountability, Power)</t>
  </si>
  <si>
    <t>TO WHAT END (Sustainability, Systems, Outcomes)</t>
  </si>
  <si>
    <t>OVERALL SOLIDARITY PROFILE</t>
  </si>
  <si>
    <t>RISK FLAGS &amp; ALERTS</t>
  </si>
  <si>
    <t>Solidarity Type Observed:</t>
  </si>
  <si>
    <t>AUTO-GENERATED NARRATIVE SUMMARY</t>
  </si>
  <si>
    <t>DECISION SUPPORT &amp; RECOMMENDATIONS</t>
  </si>
  <si>
    <t>Strongest Domain:</t>
  </si>
  <si>
    <t>Weakest Domain:</t>
  </si>
  <si>
    <t>PRIORITY ACTIONS FOR PEPFAR NIGERIA:</t>
  </si>
  <si>
    <t>Accelerate domestic financing transition - increase government allocation beyond current $3.2M commitment</t>
  </si>
  <si>
    <t>Strengthen power transformation - involve local actors in COP priority-setting, not just implementation</t>
  </si>
  <si>
    <t>Address legal barriers to KP inclusion - advocate for policy reforms enabling full participation</t>
  </si>
  <si>
    <t>Diversify funding sources - engage private sector, explore South-South partnerships</t>
  </si>
  <si>
    <t>Complete domestic ARV production capacity by end 2025 as planned</t>
  </si>
  <si>
    <t>FIT FOR SOLIDARISTIC FUNDING:</t>
  </si>
  <si>
    <t>FILLED SAMPLE SHEETS (HIV Programming in Nigeria):</t>
  </si>
  <si>
    <t>• Input_Context - Contains sample program details for PEPFAR Nigeria</t>
  </si>
  <si>
    <t>• Input_Domains - Contains sample ratings and evidence for all 9 domains</t>
  </si>
  <si>
    <t>• Input_Integrity - Contains sample risk assessment and solidarity type</t>
  </si>
  <si>
    <t>• Dashboard - Auto-populates from sample data with formulas</t>
  </si>
  <si>
    <t>BLANK TEMPLATE SHEETS (For New Assessments):</t>
  </si>
  <si>
    <t>• Blank_Context - Empty template for program identification</t>
  </si>
  <si>
    <t>• Blank_Domains - Empty template with indicator prompts for each domain</t>
  </si>
  <si>
    <t>• Blank_Integrity - Empty template for integrity checks and risk assessment</t>
  </si>
  <si>
    <t>HOW TO USE FOR A NEW ASSESSMENT:</t>
  </si>
  <si>
    <t>1. Copy the Blank_* sheets to create your own assessment</t>
  </si>
  <si>
    <t>2. Or clear data from Input_* sheets (keeping formulas in Dashboard)</t>
  </si>
  <si>
    <t>3. Review the filled sample as a reference for quality and depth expected</t>
  </si>
  <si>
    <t>Response</t>
  </si>
  <si>
    <t>Partial</t>
  </si>
  <si>
    <t>Yes - Some</t>
  </si>
  <si>
    <t>CHIPS program and community-led initiatives reflect community input</t>
  </si>
  <si>
    <t>Program prioritizes collective health outcomes through public health approach. Some organizational interests in maintaining program presence.</t>
  </si>
  <si>
    <t>Knowledge shared through open data platforms (DATIM). Some technologies proprietary but most accessible.</t>
  </si>
  <si>
    <t>Program strengthens public systems (CHIPS, laboratory networks) rather than creating parallel structures.</t>
  </si>
  <si>
    <t>Responsibilities shared through COP process and Joint Annual Reviews. Government has formal role but limited fiscal contribution.</t>
  </si>
  <si>
    <t>Risk primarily borne by communities when funding disrupted. Funders retain most control over risk allocation.</t>
  </si>
  <si>
    <t>Some reciprocal obligations exist but dependency remains. Government committed $3.2M for transition.</t>
  </si>
  <si>
    <t>NEPWHAN meeting minutes, CCM records, Community consultation reports</t>
  </si>
  <si>
    <t>NACA coordination reports, CCM meeting records, M&amp;E framework documents</t>
  </si>
  <si>
    <t>NASA spending assessment, HIV Trust Fund reports, BHCPF implementation status</t>
  </si>
  <si>
    <t>Partner satisfaction surveys, Joint review reports, Stakeholder consultations</t>
  </si>
  <si>
    <t>This tool operationalizes the Solidarity Profiling Framework developed through the Global Health Solidarity Project, translating pluriversal solidarity principles into a multidimensional profiling methodology.</t>
  </si>
  <si>
    <t>Non-reductive qualitative profiling capturing orientation (WHAT), process (HOW), and outcomes (TO WHAT END). Generates a solidarity PROFILE, not a composite index or ranking.</t>
  </si>
  <si>
    <t>METHODOLOGICAL FOUNDATION</t>
  </si>
  <si>
    <t>The framework follows a four-stage translational process:</t>
  </si>
  <si>
    <t>Stage</t>
  </si>
  <si>
    <t>Key Features</t>
  </si>
  <si>
    <t>1. Domain Mapping</t>
  </si>
  <si>
    <t>Empirically derived solidarity principles mapped into analytical domains</t>
  </si>
  <si>
    <t>Reflects nature, enactment, and outcomes of solidarity</t>
  </si>
  <si>
    <t>2. Indicator Development</t>
  </si>
  <si>
    <t>Context-sensitive analytical prompts derived from solidaristic practices</t>
  </si>
  <si>
    <t>Multiple legitimate expressions coexist; treats reasoned dissent as evidentiary input</t>
  </si>
  <si>
    <t>3. Profile Construction</t>
  </si>
  <si>
    <t>Multidimensional assessment through structured qualitative ratings</t>
  </si>
  <si>
    <t>Narrative interpretation over composite numerical scores</t>
  </si>
  <si>
    <t>4. Deliberative Application</t>
  </si>
  <si>
    <t>Stakeholders collectively interpret domain-specific findings</t>
  </si>
  <si>
    <t>Embeds reflexivity, transparency, and shared interpretation</t>
  </si>
  <si>
    <t>PLURIVERSAL SAFEGUARDS</t>
  </si>
  <si>
    <t>Safeguard</t>
  </si>
  <si>
    <t>Implementation</t>
  </si>
  <si>
    <t>Human Rights Floor</t>
  </si>
  <si>
    <t>Prevents ethical relativism</t>
  </si>
  <si>
    <t>All interpretations anchored to human rights standards</t>
  </si>
  <si>
    <t>Anti-Capture Mechanisms</t>
  </si>
  <si>
    <t>Prevents deliberative capture by elites</t>
  </si>
  <si>
    <t>Structured representation of marginalized voices</t>
  </si>
  <si>
    <t>Evidentiary Documentation</t>
  </si>
  <si>
    <t>Ensures transparency</t>
  </si>
  <si>
    <t>Clear documentation of evidence supporting each rating</t>
  </si>
  <si>
    <t>Procedural Justice</t>
  </si>
  <si>
    <t>Ensures fair participation</t>
  </si>
  <si>
    <t>Explicit criteria for who contributes to deliberative interpretation</t>
  </si>
  <si>
    <t>Reflexivity Safeguards</t>
  </si>
  <si>
    <t>Prevents reductionism</t>
  </si>
  <si>
    <t>Continuous interrogation of how context shapes inquiry</t>
  </si>
  <si>
    <t>THEORETICAL GROUNDING</t>
  </si>
  <si>
    <t>Concept</t>
  </si>
  <si>
    <t>Source</t>
  </si>
  <si>
    <t>Application in Framework</t>
  </si>
  <si>
    <t>Three-Tier Solidarity Model</t>
  </si>
  <si>
    <t>Prainsack &amp; Buyx (2012)</t>
  </si>
  <si>
    <t>Interpersonal, communal, and contractual/legal levels of solidarity enactment</t>
  </si>
  <si>
    <t>Epistemic Justice</t>
  </si>
  <si>
    <t>Pratt &amp; Vries (2023)</t>
  </si>
  <si>
    <t>Fairness in distribution of epistemic labour and credence across participants</t>
  </si>
  <si>
    <t>Pluriversal Theory</t>
  </si>
  <si>
    <t>Baquero et al. (2021); Barreto (2014)</t>
  </si>
  <si>
    <t>Recognizes multiple legitimate worldviews without imposing universal metrics</t>
  </si>
  <si>
    <t>Spidergram Visualization</t>
  </si>
  <si>
    <t>Rifkin et al.; Baatiema et al. (2013)</t>
  </si>
  <si>
    <t>Non-numerical comparative representations sustaining interpretive analysis</t>
  </si>
  <si>
    <t>SOLIDARITY TYPES (After Assessment)</t>
  </si>
  <si>
    <t>Characteristics</t>
  </si>
  <si>
    <t>High stated commitment, low resource allocation to solidaristic practices</t>
  </si>
  <si>
    <t>Service delivery focus, power structures largely unchanged</t>
  </si>
  <si>
    <t>Shared decision-making, equitable resource distribution</t>
  </si>
  <si>
    <t>Power transformation, systemic change, local sovereignty strengthened</t>
  </si>
  <si>
    <t>ACKNOWLEDGED LIMITATIONS</t>
  </si>
  <si>
    <t>Limitation</t>
  </si>
  <si>
    <t>Implication</t>
  </si>
  <si>
    <t>Mitigation Strategy</t>
  </si>
  <si>
    <t>Deliberative capture risk</t>
  </si>
  <si>
    <t>Power asymmetries may persist despite facilitation</t>
  </si>
  <si>
    <t>Anti-capture safeguards, structured marginalized voice representation</t>
  </si>
  <si>
    <t>Subjectivity in interpretation</t>
  </si>
  <si>
    <t>Context-dependent indicators require judgment</t>
  </si>
  <si>
    <t>Reflexive safeguards, evidentiary documentation, multiple assessors</t>
  </si>
  <si>
    <t>Participatory fatigue</t>
  </si>
  <si>
    <t>Repeated engagement may burden stakeholders</t>
  </si>
  <si>
    <t>Adequate resourcing, strategic timing of assessments</t>
  </si>
  <si>
    <t>Limited cross-case comparability</t>
  </si>
  <si>
    <t>Contextual sensitivity precludes universal ranking</t>
  </si>
  <si>
    <t>Accept as design feature, not limitation; use for learning not ranking</t>
  </si>
  <si>
    <t>No empirical field testing</t>
  </si>
  <si>
    <t>Operational feasibility not yet established</t>
  </si>
  <si>
    <t>Subsequent validation studies planned</t>
  </si>
  <si>
    <t>This Excel-based tool operationalizes the Solidarity Profiling Framework, translating pluriversal solidarity principles into a multidimensional profiling methodology for global health decision-making.</t>
  </si>
  <si>
    <t>Rather than generating a universal index or ranking, the framework captures diverse expressions of solidaristic practice across institutional and sociopolitical contexts.</t>
  </si>
  <si>
    <t>Traditional evaluations measure technical outcomes (efficiency, effectiveness, financial protection) but rarely examine the relational, ethical, and governance processes through which outcomes are pursued.</t>
  </si>
  <si>
    <t>1. Generates solidarity PROFILES, not composite indices or rankings</t>
  </si>
  <si>
    <t>2. Preserves conceptual plurality and contextual interpretation</t>
  </si>
  <si>
    <t>3. Treats indicators as context-sensitive analytical prompts, not fixed metrics</t>
  </si>
  <si>
    <t>4. Embeds reflexivity, transparency, and shared interpretation in assessment</t>
  </si>
  <si>
    <t>5. Incorporates anti-capture safeguards and human rights floors</t>
  </si>
  <si>
    <t>6. Detects 'solidarity washing' - rhetorical solidarity without substance</t>
  </si>
  <si>
    <t>Calculation</t>
  </si>
  <si>
    <t>Readme</t>
  </si>
  <si>
    <t>HowTo</t>
  </si>
  <si>
    <t>Solidarity is evolving. Periodic reassessment is highly recommended.</t>
  </si>
  <si>
    <t xml:space="preserve">Interpretive Guide </t>
  </si>
  <si>
    <t>Focused Time Estimate</t>
  </si>
  <si>
    <r>
      <t>Purpose:-</t>
    </r>
    <r>
      <rPr>
        <b/>
        <sz val="11"/>
        <color rgb="FFFF0000"/>
        <rFont val="Aptos Narrow"/>
        <family val="2"/>
        <scheme val="minor"/>
      </rPr>
      <t xml:space="preserve"> not more than 300 words</t>
    </r>
  </si>
  <si>
    <t>PEPFAR Nigeria</t>
  </si>
  <si>
    <t>USG</t>
  </si>
  <si>
    <t>Nigeria</t>
  </si>
  <si>
    <t>Health - HIV Program</t>
  </si>
  <si>
    <t>Assesment Title</t>
  </si>
  <si>
    <t>Interviews</t>
  </si>
  <si>
    <t>Observations</t>
  </si>
  <si>
    <t>Secondary</t>
  </si>
  <si>
    <t>Primary</t>
  </si>
  <si>
    <t>Not clear</t>
  </si>
  <si>
    <t>No</t>
  </si>
  <si>
    <t>Informed only</t>
  </si>
  <si>
    <t>No - excessive</t>
  </si>
  <si>
    <t>Funder primarily</t>
  </si>
  <si>
    <t>Partially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</si>
</sst>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1F4E79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1F4E79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rgb="FF70AD47"/>
      <name val="Aptos Narrow"/>
      <family val="2"/>
      <scheme val="minor"/>
    </font>
    <font>
      <b/>
      <sz val="11"/>
      <color rgb="FF2E75B6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70AD47"/>
      <name val="Calibri"/>
      <family val="2"/>
    </font>
    <font>
      <b/>
      <sz val="10"/>
      <color rgb="FFC00000"/>
      <name val="Calibri"/>
      <family val="2"/>
    </font>
    <font>
      <b/>
      <sz val="10"/>
      <color rgb="FFED7D31"/>
      <name val="Calibri"/>
      <family val="2"/>
    </font>
    <font>
      <sz val="10"/>
      <color rgb="FF70AD47"/>
      <name val="Calibri"/>
      <family val="2"/>
    </font>
    <font>
      <sz val="10"/>
      <color rgb="FFC00000"/>
      <name val="Calibri"/>
      <family val="2"/>
    </font>
    <font>
      <b/>
      <sz val="16"/>
      <color rgb="FFFFFFFF"/>
      <name val="Calibri"/>
      <family val="2"/>
    </font>
    <font>
      <b/>
      <i/>
      <sz val="11"/>
      <color rgb="FF2E75B6"/>
      <name val="Calibri"/>
      <family val="2"/>
    </font>
    <font>
      <i/>
      <sz val="11"/>
      <color theme="1"/>
      <name val="Calibri"/>
      <family val="2"/>
    </font>
    <font>
      <sz val="10"/>
      <color rgb="FF006400"/>
      <name val="Calibri"/>
      <family val="2"/>
    </font>
    <font>
      <sz val="10"/>
      <color rgb="FF9C5700"/>
      <name val="Calibri"/>
      <family val="2"/>
    </font>
    <font>
      <sz val="10"/>
      <color rgb="FFC65911"/>
      <name val="Calibri"/>
      <family val="2"/>
    </font>
    <font>
      <b/>
      <sz val="10"/>
      <name val="Calibri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FF0000"/>
      <name val="Calibri"/>
      <family val="2"/>
    </font>
    <font>
      <sz val="10"/>
      <name val="Calibri"/>
      <family val="2"/>
    </font>
    <font>
      <b/>
      <sz val="10"/>
      <color theme="1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2D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5" borderId="0" xfId="0" applyFill="1"/>
    <xf numFmtId="0" fontId="9" fillId="5" borderId="0" xfId="0" applyFont="1" applyFill="1"/>
    <xf numFmtId="0" fontId="10" fillId="2" borderId="0" xfId="0" applyFont="1" applyFill="1"/>
    <xf numFmtId="0" fontId="11" fillId="6" borderId="0" xfId="0" applyFont="1" applyFill="1"/>
    <xf numFmtId="0" fontId="0" fillId="7" borderId="0" xfId="0" applyFill="1"/>
    <xf numFmtId="0" fontId="0" fillId="4" borderId="0" xfId="0" applyFill="1"/>
    <xf numFmtId="0" fontId="0" fillId="0" borderId="0" xfId="0" applyAlignment="1">
      <alignment wrapText="1"/>
    </xf>
    <xf numFmtId="0" fontId="0" fillId="8" borderId="0" xfId="0" applyFill="1"/>
    <xf numFmtId="0" fontId="1" fillId="0" borderId="0" xfId="0" applyFont="1" applyAlignment="1">
      <alignment wrapText="1"/>
    </xf>
    <xf numFmtId="0" fontId="1" fillId="9" borderId="0" xfId="0" applyFont="1" applyFill="1" applyAlignment="1">
      <alignment wrapText="1"/>
    </xf>
    <xf numFmtId="0" fontId="0" fillId="9" borderId="0" xfId="0" applyFill="1"/>
    <xf numFmtId="0" fontId="8" fillId="5" borderId="0" xfId="0" applyFont="1" applyFill="1"/>
    <xf numFmtId="0" fontId="11" fillId="2" borderId="0" xfId="0" applyFont="1" applyFill="1"/>
    <xf numFmtId="0" fontId="11" fillId="10" borderId="0" xfId="0" applyFont="1" applyFill="1"/>
    <xf numFmtId="0" fontId="11" fillId="11" borderId="0" xfId="0" applyFont="1" applyFill="1"/>
    <xf numFmtId="0" fontId="14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1" fillId="4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1" fillId="13" borderId="0" xfId="0" applyFont="1" applyFill="1" applyAlignment="1">
      <alignment wrapText="1"/>
    </xf>
    <xf numFmtId="15" fontId="0" fillId="0" borderId="0" xfId="0" applyNumberFormat="1"/>
    <xf numFmtId="17" fontId="0" fillId="0" borderId="0" xfId="0" applyNumberFormat="1"/>
    <xf numFmtId="0" fontId="18" fillId="0" borderId="0" xfId="0" applyFont="1"/>
    <xf numFmtId="0" fontId="17" fillId="6" borderId="0" xfId="0" applyFont="1" applyFill="1"/>
    <xf numFmtId="0" fontId="19" fillId="14" borderId="0" xfId="0" applyFont="1" applyFill="1"/>
    <xf numFmtId="0" fontId="18" fillId="0" borderId="0" xfId="0" applyFont="1" applyAlignment="1">
      <alignment horizontal="left"/>
    </xf>
    <xf numFmtId="0" fontId="19" fillId="0" borderId="0" xfId="0" applyFont="1"/>
    <xf numFmtId="0" fontId="19" fillId="3" borderId="0" xfId="0" applyFont="1" applyFill="1"/>
    <xf numFmtId="15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 wrapText="1"/>
    </xf>
    <xf numFmtId="0" fontId="21" fillId="0" borderId="0" xfId="0" applyFont="1"/>
    <xf numFmtId="0" fontId="22" fillId="0" borderId="0" xfId="0" applyFont="1"/>
    <xf numFmtId="0" fontId="19" fillId="12" borderId="0" xfId="0" applyFont="1" applyFill="1"/>
    <xf numFmtId="0" fontId="18" fillId="0" borderId="4" xfId="0" applyFont="1" applyBorder="1"/>
    <xf numFmtId="0" fontId="18" fillId="4" borderId="11" xfId="0" applyFont="1" applyFill="1" applyBorder="1"/>
    <xf numFmtId="0" fontId="18" fillId="0" borderId="7" xfId="0" applyFont="1" applyBorder="1"/>
    <xf numFmtId="0" fontId="18" fillId="5" borderId="11" xfId="0" applyFont="1" applyFill="1" applyBorder="1"/>
    <xf numFmtId="0" fontId="19" fillId="16" borderId="0" xfId="0" applyFont="1" applyFill="1"/>
    <xf numFmtId="164" fontId="19" fillId="16" borderId="0" xfId="0" applyNumberFormat="1" applyFont="1" applyFill="1"/>
    <xf numFmtId="0" fontId="23" fillId="0" borderId="0" xfId="0" applyFont="1"/>
    <xf numFmtId="0" fontId="24" fillId="0" borderId="0" xfId="0" applyFont="1"/>
    <xf numFmtId="0" fontId="19" fillId="5" borderId="0" xfId="0" applyFont="1" applyFill="1"/>
    <xf numFmtId="0" fontId="26" fillId="20" borderId="0" xfId="0" applyFont="1" applyFill="1"/>
    <xf numFmtId="0" fontId="27" fillId="20" borderId="0" xfId="0" applyFont="1" applyFill="1"/>
    <xf numFmtId="0" fontId="17" fillId="16" borderId="0" xfId="0" applyFont="1" applyFill="1"/>
    <xf numFmtId="0" fontId="19" fillId="17" borderId="0" xfId="0" applyFont="1" applyFill="1"/>
    <xf numFmtId="0" fontId="28" fillId="19" borderId="0" xfId="0" applyFont="1" applyFill="1"/>
    <xf numFmtId="0" fontId="29" fillId="18" borderId="0" xfId="0" applyFont="1" applyFill="1"/>
    <xf numFmtId="0" fontId="30" fillId="9" borderId="0" xfId="0" applyFont="1" applyFill="1"/>
    <xf numFmtId="0" fontId="17" fillId="6" borderId="0" xfId="0" applyFont="1" applyFill="1"/>
    <xf numFmtId="0" fontId="25" fillId="2" borderId="0" xfId="0" applyFont="1" applyFill="1" applyAlignment="1">
      <alignment horizontal="center"/>
    </xf>
    <xf numFmtId="0" fontId="1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14" fillId="3" borderId="0" xfId="0" applyFont="1" applyFill="1" applyAlignment="1">
      <alignment horizontal="left"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7" fillId="10" borderId="0" xfId="0" applyFont="1" applyFill="1"/>
    <xf numFmtId="0" fontId="17" fillId="11" borderId="0" xfId="0" applyFont="1" applyFill="1"/>
    <xf numFmtId="0" fontId="18" fillId="0" borderId="8" xfId="0" applyFont="1" applyBorder="1" applyAlignment="1">
      <alignment vertical="top" wrapText="1"/>
    </xf>
    <xf numFmtId="0" fontId="18" fillId="0" borderId="9" xfId="0" applyFont="1" applyBorder="1"/>
    <xf numFmtId="0" fontId="18" fillId="0" borderId="10" xfId="0" applyFont="1" applyBorder="1"/>
    <xf numFmtId="0" fontId="18" fillId="0" borderId="5" xfId="0" applyFont="1" applyBorder="1"/>
    <xf numFmtId="0" fontId="18" fillId="0" borderId="3" xfId="0" applyFont="1" applyBorder="1"/>
    <xf numFmtId="0" fontId="18" fillId="0" borderId="6" xfId="0" applyFont="1" applyBorder="1"/>
    <xf numFmtId="0" fontId="18" fillId="0" borderId="1" xfId="0" applyFont="1" applyBorder="1"/>
    <xf numFmtId="0" fontId="18" fillId="0" borderId="2" xfId="0" applyFont="1" applyBorder="1"/>
    <xf numFmtId="2" fontId="18" fillId="0" borderId="0" xfId="0" applyNumberFormat="1" applyFont="1"/>
    <xf numFmtId="0" fontId="14" fillId="3" borderId="0" xfId="0" applyFont="1" applyFill="1" applyAlignment="1">
      <alignment horizontal="center" wrapText="1"/>
    </xf>
    <xf numFmtId="0" fontId="15" fillId="3" borderId="0" xfId="0" applyFont="1" applyFill="1" applyAlignment="1">
      <alignment horizontal="left" wrapText="1"/>
    </xf>
    <xf numFmtId="0" fontId="0" fillId="0" borderId="0" xfId="0" applyAlignment="1"/>
    <xf numFmtId="0" fontId="16" fillId="0" borderId="0" xfId="0" applyFont="1" applyAlignment="1"/>
    <xf numFmtId="0" fontId="0" fillId="0" borderId="0" xfId="0" applyAlignment="1">
      <alignment horizontal="left" wrapText="1"/>
    </xf>
    <xf numFmtId="0" fontId="0" fillId="21" borderId="0" xfId="0" applyFill="1" applyAlignment="1">
      <alignment wrapText="1"/>
    </xf>
    <xf numFmtId="0" fontId="1" fillId="21" borderId="0" xfId="0" applyFont="1" applyFill="1" applyAlignment="1">
      <alignment horizontal="left" wrapText="1"/>
    </xf>
    <xf numFmtId="0" fontId="33" fillId="0" borderId="0" xfId="0" applyFont="1" applyAlignment="1"/>
    <xf numFmtId="0" fontId="32" fillId="22" borderId="0" xfId="0" applyFont="1" applyFill="1" applyAlignment="1"/>
    <xf numFmtId="0" fontId="34" fillId="0" borderId="0" xfId="0" applyFont="1" applyAlignment="1">
      <alignment wrapText="1"/>
    </xf>
    <xf numFmtId="0" fontId="1" fillId="0" borderId="0" xfId="0" applyFont="1" applyAlignment="1"/>
    <xf numFmtId="0" fontId="34" fillId="0" borderId="0" xfId="0" applyFont="1" applyAlignment="1"/>
    <xf numFmtId="0" fontId="0" fillId="0" borderId="0" xfId="0" applyFont="1" applyFill="1" applyAlignment="1">
      <alignment wrapText="1"/>
    </xf>
    <xf numFmtId="0" fontId="0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ill="1"/>
    <xf numFmtId="0" fontId="0" fillId="23" borderId="0" xfId="0" applyFill="1" applyAlignment="1">
      <alignment wrapText="1"/>
    </xf>
    <xf numFmtId="0" fontId="0" fillId="23" borderId="0" xfId="0" applyFill="1" applyAlignment="1"/>
    <xf numFmtId="0" fontId="0" fillId="24" borderId="0" xfId="0" applyFill="1" applyAlignment="1"/>
    <xf numFmtId="0" fontId="31" fillId="14" borderId="0" xfId="0" applyFont="1" applyFill="1"/>
    <xf numFmtId="0" fontId="18" fillId="0" borderId="0" xfId="0" applyFont="1" applyFill="1"/>
    <xf numFmtId="0" fontId="19" fillId="0" borderId="0" xfId="0" applyFont="1" applyFill="1"/>
    <xf numFmtId="0" fontId="36" fillId="21" borderId="0" xfId="0" applyFont="1" applyFill="1"/>
    <xf numFmtId="0" fontId="18" fillId="21" borderId="0" xfId="0" applyFont="1" applyFill="1"/>
    <xf numFmtId="0" fontId="21" fillId="21" borderId="0" xfId="0" applyFont="1" applyFill="1"/>
    <xf numFmtId="0" fontId="17" fillId="21" borderId="0" xfId="0" applyFont="1" applyFill="1"/>
    <xf numFmtId="0" fontId="19" fillId="21" borderId="0" xfId="0" applyFont="1" applyFill="1"/>
    <xf numFmtId="0" fontId="22" fillId="21" borderId="0" xfId="0" applyFont="1" applyFill="1"/>
    <xf numFmtId="0" fontId="20" fillId="13" borderId="0" xfId="0" applyFont="1" applyFill="1"/>
    <xf numFmtId="0" fontId="18" fillId="13" borderId="0" xfId="0" applyFont="1" applyFill="1"/>
    <xf numFmtId="0" fontId="18" fillId="4" borderId="2" xfId="0" applyFont="1" applyFill="1" applyBorder="1"/>
    <xf numFmtId="0" fontId="18" fillId="0" borderId="4" xfId="0" applyFont="1" applyFill="1" applyBorder="1"/>
    <xf numFmtId="0" fontId="31" fillId="16" borderId="0" xfId="0" applyFont="1" applyFill="1"/>
    <xf numFmtId="0" fontId="18" fillId="13" borderId="0" xfId="0" applyFont="1" applyFill="1" applyAlignment="1">
      <alignment wrapText="1"/>
    </xf>
    <xf numFmtId="0" fontId="18" fillId="21" borderId="0" xfId="0" applyFont="1" applyFill="1" applyAlignment="1">
      <alignment wrapText="1"/>
    </xf>
    <xf numFmtId="0" fontId="37" fillId="15" borderId="11" xfId="0" applyFont="1" applyFill="1" applyBorder="1"/>
    <xf numFmtId="0" fontId="18" fillId="25" borderId="0" xfId="0" applyFont="1" applyFill="1"/>
    <xf numFmtId="164" fontId="18" fillId="0" borderId="0" xfId="0" applyNumberFormat="1" applyFont="1" applyFill="1"/>
    <xf numFmtId="0" fontId="37" fillId="0" borderId="0" xfId="0" applyFont="1" applyFill="1"/>
    <xf numFmtId="0" fontId="18" fillId="25" borderId="0" xfId="0" applyFont="1" applyFill="1"/>
    <xf numFmtId="0" fontId="38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F6F4-63D1-4427-AFDE-11DA17F948EF}">
  <dimension ref="A1:D99"/>
  <sheetViews>
    <sheetView workbookViewId="0">
      <selection activeCell="A80" sqref="A80"/>
    </sheetView>
  </sheetViews>
  <sheetFormatPr defaultRowHeight="14.5" x14ac:dyDescent="0.35"/>
  <cols>
    <col min="1" max="1" width="27.26953125" customWidth="1"/>
    <col min="2" max="2" width="63.6328125" customWidth="1"/>
    <col min="3" max="3" width="41.1796875" customWidth="1"/>
    <col min="4" max="4" width="44.453125" customWidth="1"/>
  </cols>
  <sheetData>
    <row r="1" spans="1:4" ht="24.5" customHeight="1" x14ac:dyDescent="0.55000000000000004">
      <c r="A1" s="63" t="s">
        <v>0</v>
      </c>
      <c r="B1" s="64"/>
      <c r="C1" s="64"/>
      <c r="D1" s="64"/>
    </row>
    <row r="2" spans="1:4" ht="15" x14ac:dyDescent="0.4">
      <c r="A2" s="65" t="s">
        <v>267</v>
      </c>
      <c r="B2" s="64"/>
      <c r="C2" s="64"/>
      <c r="D2" s="64"/>
    </row>
    <row r="3" spans="1:4" x14ac:dyDescent="0.35">
      <c r="A3" s="18"/>
      <c r="B3" s="18"/>
      <c r="C3" s="18"/>
      <c r="D3" s="18"/>
    </row>
    <row r="4" spans="1:4" ht="17" x14ac:dyDescent="0.4">
      <c r="A4" s="27" t="s">
        <v>268</v>
      </c>
      <c r="B4" s="28"/>
      <c r="C4" s="28"/>
      <c r="D4" s="28"/>
    </row>
    <row r="5" spans="1:4" x14ac:dyDescent="0.35">
      <c r="A5" s="18"/>
      <c r="B5" s="18"/>
      <c r="C5" s="18"/>
      <c r="D5" s="18"/>
    </row>
    <row r="6" spans="1:4" ht="43.5" x14ac:dyDescent="0.35">
      <c r="A6" s="89" t="s">
        <v>138</v>
      </c>
      <c r="B6" s="18" t="s">
        <v>780</v>
      </c>
      <c r="C6" s="18"/>
      <c r="D6" s="18"/>
    </row>
    <row r="7" spans="1:4" ht="43.5" x14ac:dyDescent="0.35">
      <c r="A7" s="18"/>
      <c r="B7" s="18" t="s">
        <v>781</v>
      </c>
      <c r="C7" s="18"/>
      <c r="D7" s="18"/>
    </row>
    <row r="8" spans="1:4" x14ac:dyDescent="0.35">
      <c r="A8" s="18"/>
      <c r="B8" s="18"/>
      <c r="C8" s="18"/>
      <c r="D8" s="18"/>
    </row>
    <row r="9" spans="1:4" x14ac:dyDescent="0.35">
      <c r="A9" s="89" t="s">
        <v>269</v>
      </c>
      <c r="B9" s="18" t="s">
        <v>270</v>
      </c>
      <c r="C9" s="18"/>
      <c r="D9" s="18"/>
    </row>
    <row r="10" spans="1:4" x14ac:dyDescent="0.35">
      <c r="A10" s="18"/>
      <c r="B10" s="18" t="s">
        <v>271</v>
      </c>
      <c r="C10" s="18"/>
      <c r="D10" s="18"/>
    </row>
    <row r="11" spans="1:4" x14ac:dyDescent="0.35">
      <c r="A11" s="18"/>
      <c r="B11" s="18" t="s">
        <v>272</v>
      </c>
      <c r="C11" s="18"/>
      <c r="D11" s="18"/>
    </row>
    <row r="12" spans="1:4" x14ac:dyDescent="0.35">
      <c r="A12" s="18"/>
      <c r="B12" s="18" t="s">
        <v>273</v>
      </c>
      <c r="C12" s="18"/>
      <c r="D12" s="18"/>
    </row>
    <row r="13" spans="1:4" x14ac:dyDescent="0.35">
      <c r="A13" s="18"/>
      <c r="B13" s="18" t="s">
        <v>274</v>
      </c>
      <c r="C13" s="18"/>
      <c r="D13" s="18"/>
    </row>
    <row r="14" spans="1:4" x14ac:dyDescent="0.35">
      <c r="A14" s="18"/>
      <c r="B14" s="18"/>
      <c r="C14" s="18"/>
      <c r="D14" s="18"/>
    </row>
    <row r="15" spans="1:4" ht="17" x14ac:dyDescent="0.4">
      <c r="A15" s="27" t="s">
        <v>275</v>
      </c>
      <c r="B15" s="28"/>
      <c r="C15" s="28"/>
      <c r="D15" s="28"/>
    </row>
    <row r="16" spans="1:4" x14ac:dyDescent="0.35">
      <c r="A16" s="18"/>
      <c r="B16" s="18"/>
      <c r="C16" s="18"/>
      <c r="D16" s="18"/>
    </row>
    <row r="17" spans="1:4" ht="43.5" x14ac:dyDescent="0.35">
      <c r="A17" s="89" t="s">
        <v>276</v>
      </c>
      <c r="B17" s="18" t="s">
        <v>782</v>
      </c>
      <c r="C17" s="18"/>
      <c r="D17" s="18"/>
    </row>
    <row r="18" spans="1:4" x14ac:dyDescent="0.35">
      <c r="A18" s="18"/>
      <c r="B18" s="18" t="s">
        <v>783</v>
      </c>
      <c r="C18" s="18"/>
      <c r="D18" s="18"/>
    </row>
    <row r="19" spans="1:4" x14ac:dyDescent="0.35">
      <c r="A19" s="18"/>
      <c r="B19" s="18" t="s">
        <v>784</v>
      </c>
      <c r="C19" s="18"/>
      <c r="D19" s="18"/>
    </row>
    <row r="20" spans="1:4" x14ac:dyDescent="0.35">
      <c r="A20" s="18"/>
      <c r="B20" s="18" t="s">
        <v>785</v>
      </c>
      <c r="C20" s="18"/>
      <c r="D20" s="18"/>
    </row>
    <row r="21" spans="1:4" x14ac:dyDescent="0.35">
      <c r="A21" s="18"/>
      <c r="B21" s="18" t="s">
        <v>786</v>
      </c>
      <c r="C21" s="18"/>
      <c r="D21" s="18"/>
    </row>
    <row r="22" spans="1:4" x14ac:dyDescent="0.35">
      <c r="A22" s="18"/>
      <c r="B22" s="18" t="s">
        <v>787</v>
      </c>
      <c r="C22" s="18"/>
      <c r="D22" s="18"/>
    </row>
    <row r="23" spans="1:4" x14ac:dyDescent="0.35">
      <c r="A23" s="18"/>
      <c r="B23" s="18" t="s">
        <v>788</v>
      </c>
      <c r="C23" s="18"/>
      <c r="D23" s="18"/>
    </row>
    <row r="24" spans="1:4" ht="17" x14ac:dyDescent="0.4">
      <c r="A24" s="80" t="s">
        <v>277</v>
      </c>
      <c r="B24" s="80"/>
      <c r="C24" s="28"/>
      <c r="D24" s="28"/>
    </row>
    <row r="25" spans="1:4" x14ac:dyDescent="0.35">
      <c r="A25" s="18"/>
      <c r="B25" s="18"/>
      <c r="C25" s="18"/>
      <c r="D25" s="18"/>
    </row>
    <row r="26" spans="1:4" x14ac:dyDescent="0.35">
      <c r="A26" s="89" t="s">
        <v>278</v>
      </c>
      <c r="B26" s="18" t="s">
        <v>279</v>
      </c>
      <c r="C26" s="18"/>
      <c r="D26" s="18"/>
    </row>
    <row r="27" spans="1:4" x14ac:dyDescent="0.35">
      <c r="A27" s="18"/>
      <c r="B27" s="18"/>
      <c r="C27" s="18"/>
      <c r="D27" s="18"/>
    </row>
    <row r="28" spans="1:4" x14ac:dyDescent="0.35">
      <c r="A28" s="29" t="s">
        <v>143</v>
      </c>
      <c r="B28" s="29" t="s">
        <v>100</v>
      </c>
      <c r="C28" s="29" t="s">
        <v>146</v>
      </c>
      <c r="D28" s="29" t="s">
        <v>145</v>
      </c>
    </row>
    <row r="29" spans="1:4" x14ac:dyDescent="0.35">
      <c r="A29" s="18" t="s">
        <v>147</v>
      </c>
      <c r="B29" s="18" t="s">
        <v>280</v>
      </c>
      <c r="C29" s="18" t="s">
        <v>150</v>
      </c>
      <c r="D29" s="18" t="s">
        <v>281</v>
      </c>
    </row>
    <row r="30" spans="1:4" x14ac:dyDescent="0.35">
      <c r="A30" s="18" t="s">
        <v>151</v>
      </c>
      <c r="B30" s="18" t="s">
        <v>282</v>
      </c>
      <c r="C30" s="18" t="s">
        <v>154</v>
      </c>
      <c r="D30" s="18" t="s">
        <v>283</v>
      </c>
    </row>
    <row r="31" spans="1:4" x14ac:dyDescent="0.35">
      <c r="A31" s="18" t="s">
        <v>155</v>
      </c>
      <c r="B31" s="18" t="s">
        <v>284</v>
      </c>
      <c r="C31" s="18" t="s">
        <v>158</v>
      </c>
      <c r="D31" s="18" t="s">
        <v>285</v>
      </c>
    </row>
    <row r="32" spans="1:4" x14ac:dyDescent="0.35">
      <c r="A32" s="18"/>
      <c r="B32" s="18"/>
      <c r="C32" s="18"/>
      <c r="D32" s="18"/>
    </row>
    <row r="33" spans="1:4" x14ac:dyDescent="0.35">
      <c r="A33" s="89" t="s">
        <v>286</v>
      </c>
      <c r="B33" s="18"/>
      <c r="C33" s="18"/>
      <c r="D33" s="18"/>
    </row>
    <row r="34" spans="1:4" x14ac:dyDescent="0.35">
      <c r="A34" s="29" t="s">
        <v>162</v>
      </c>
      <c r="B34" s="29" t="s">
        <v>118</v>
      </c>
      <c r="C34" s="29" t="s">
        <v>287</v>
      </c>
      <c r="D34" s="29"/>
    </row>
    <row r="35" spans="1:4" ht="29" x14ac:dyDescent="0.35">
      <c r="A35" s="18" t="s">
        <v>166</v>
      </c>
      <c r="B35" s="18" t="s">
        <v>288</v>
      </c>
      <c r="C35" s="18" t="s">
        <v>289</v>
      </c>
      <c r="D35" s="18"/>
    </row>
    <row r="36" spans="1:4" x14ac:dyDescent="0.35">
      <c r="A36" s="18" t="s">
        <v>217</v>
      </c>
      <c r="B36" s="18" t="s">
        <v>290</v>
      </c>
      <c r="C36" s="18" t="s">
        <v>291</v>
      </c>
      <c r="D36" s="18"/>
    </row>
    <row r="37" spans="1:4" x14ac:dyDescent="0.35">
      <c r="A37" s="18" t="s">
        <v>170</v>
      </c>
      <c r="B37" s="18" t="s">
        <v>292</v>
      </c>
      <c r="C37" s="18" t="s">
        <v>293</v>
      </c>
      <c r="D37" s="18"/>
    </row>
    <row r="38" spans="1:4" x14ac:dyDescent="0.35">
      <c r="A38" s="18" t="s">
        <v>172</v>
      </c>
      <c r="B38" s="18" t="s">
        <v>294</v>
      </c>
      <c r="C38" s="18" t="s">
        <v>295</v>
      </c>
      <c r="D38" s="18"/>
    </row>
    <row r="39" spans="1:4" x14ac:dyDescent="0.35">
      <c r="A39" s="18" t="s">
        <v>174</v>
      </c>
      <c r="B39" s="18" t="s">
        <v>296</v>
      </c>
      <c r="C39" s="18" t="s">
        <v>297</v>
      </c>
      <c r="D39" s="18"/>
    </row>
    <row r="40" spans="1:4" x14ac:dyDescent="0.35">
      <c r="A40" s="18" t="s">
        <v>218</v>
      </c>
      <c r="B40" s="18" t="s">
        <v>298</v>
      </c>
      <c r="C40" s="18" t="s">
        <v>299</v>
      </c>
      <c r="D40" s="18"/>
    </row>
    <row r="41" spans="1:4" x14ac:dyDescent="0.35">
      <c r="A41" s="18" t="s">
        <v>219</v>
      </c>
      <c r="B41" s="18" t="s">
        <v>300</v>
      </c>
      <c r="C41" s="18" t="s">
        <v>301</v>
      </c>
      <c r="D41" s="18"/>
    </row>
    <row r="42" spans="1:4" x14ac:dyDescent="0.35">
      <c r="A42" s="18" t="s">
        <v>180</v>
      </c>
      <c r="B42" s="18" t="s">
        <v>302</v>
      </c>
      <c r="C42" s="18" t="s">
        <v>303</v>
      </c>
      <c r="D42" s="18"/>
    </row>
    <row r="43" spans="1:4" x14ac:dyDescent="0.35">
      <c r="A43" s="18" t="s">
        <v>182</v>
      </c>
      <c r="B43" s="18" t="s">
        <v>304</v>
      </c>
      <c r="C43" s="18" t="s">
        <v>305</v>
      </c>
      <c r="D43" s="18"/>
    </row>
    <row r="44" spans="1:4" x14ac:dyDescent="0.35">
      <c r="A44" s="18"/>
      <c r="B44" s="18"/>
      <c r="C44" s="18"/>
      <c r="D44" s="18"/>
    </row>
    <row r="45" spans="1:4" ht="17" x14ac:dyDescent="0.4">
      <c r="A45" s="27" t="s">
        <v>306</v>
      </c>
      <c r="B45" s="28"/>
      <c r="C45" s="28"/>
      <c r="D45" s="28"/>
    </row>
    <row r="46" spans="1:4" x14ac:dyDescent="0.35">
      <c r="A46" s="18"/>
      <c r="B46" s="18"/>
      <c r="C46" s="18"/>
      <c r="D46" s="18"/>
    </row>
    <row r="47" spans="1:4" x14ac:dyDescent="0.35">
      <c r="A47" s="89" t="s">
        <v>139</v>
      </c>
      <c r="B47" s="18" t="s">
        <v>307</v>
      </c>
      <c r="C47" s="18"/>
      <c r="D47" s="18"/>
    </row>
    <row r="48" spans="1:4" x14ac:dyDescent="0.35">
      <c r="A48" s="18"/>
      <c r="B48" s="18" t="s">
        <v>308</v>
      </c>
      <c r="C48" s="18"/>
      <c r="D48" s="18"/>
    </row>
    <row r="49" spans="1:4" x14ac:dyDescent="0.35">
      <c r="A49" s="18"/>
      <c r="B49" s="18" t="s">
        <v>309</v>
      </c>
      <c r="C49" s="18"/>
      <c r="D49" s="18"/>
    </row>
    <row r="50" spans="1:4" x14ac:dyDescent="0.35">
      <c r="A50" s="18"/>
      <c r="B50" s="18" t="s">
        <v>310</v>
      </c>
      <c r="C50" s="18"/>
      <c r="D50" s="18"/>
    </row>
    <row r="51" spans="1:4" x14ac:dyDescent="0.35">
      <c r="A51" s="18"/>
      <c r="B51" s="18" t="s">
        <v>311</v>
      </c>
      <c r="C51" s="18"/>
      <c r="D51" s="18"/>
    </row>
    <row r="52" spans="1:4" x14ac:dyDescent="0.35">
      <c r="A52" s="18"/>
      <c r="B52" s="18" t="s">
        <v>312</v>
      </c>
      <c r="C52" s="18"/>
      <c r="D52" s="18"/>
    </row>
    <row r="53" spans="1:4" x14ac:dyDescent="0.35">
      <c r="A53" s="18"/>
      <c r="B53" s="18"/>
      <c r="C53" s="18"/>
      <c r="D53" s="18"/>
    </row>
    <row r="54" spans="1:4" x14ac:dyDescent="0.35">
      <c r="A54" s="89" t="s">
        <v>313</v>
      </c>
      <c r="B54" s="18"/>
      <c r="C54" s="18"/>
      <c r="D54" s="18"/>
    </row>
    <row r="55" spans="1:4" x14ac:dyDescent="0.35">
      <c r="A55" s="29" t="s">
        <v>163</v>
      </c>
      <c r="B55" s="29" t="s">
        <v>215</v>
      </c>
      <c r="C55" s="29" t="s">
        <v>118</v>
      </c>
      <c r="D55" s="29"/>
    </row>
    <row r="56" spans="1:4" x14ac:dyDescent="0.35">
      <c r="A56" s="18">
        <v>1</v>
      </c>
      <c r="B56" s="18" t="s">
        <v>314</v>
      </c>
      <c r="C56" s="18" t="s">
        <v>315</v>
      </c>
      <c r="D56" s="18"/>
    </row>
    <row r="57" spans="1:4" x14ac:dyDescent="0.35">
      <c r="A57" s="18">
        <v>2</v>
      </c>
      <c r="B57" s="18" t="s">
        <v>316</v>
      </c>
      <c r="C57" s="18" t="s">
        <v>317</v>
      </c>
      <c r="D57" s="18"/>
    </row>
    <row r="58" spans="1:4" x14ac:dyDescent="0.35">
      <c r="A58" s="18">
        <v>3</v>
      </c>
      <c r="B58" s="18" t="s">
        <v>318</v>
      </c>
      <c r="C58" s="18" t="s">
        <v>319</v>
      </c>
      <c r="D58" s="18"/>
    </row>
    <row r="59" spans="1:4" x14ac:dyDescent="0.35">
      <c r="A59" s="18">
        <v>4</v>
      </c>
      <c r="B59" s="18" t="s">
        <v>320</v>
      </c>
      <c r="C59" s="18" t="s">
        <v>321</v>
      </c>
      <c r="D59" s="18"/>
    </row>
    <row r="60" spans="1:4" x14ac:dyDescent="0.35">
      <c r="A60" s="18">
        <v>5</v>
      </c>
      <c r="B60" s="18" t="s">
        <v>322</v>
      </c>
      <c r="C60" s="18" t="s">
        <v>323</v>
      </c>
      <c r="D60" s="18"/>
    </row>
    <row r="61" spans="1:4" x14ac:dyDescent="0.35">
      <c r="A61" s="18"/>
      <c r="B61" s="18"/>
      <c r="C61" s="18"/>
      <c r="D61" s="18"/>
    </row>
    <row r="62" spans="1:4" ht="17" x14ac:dyDescent="0.4">
      <c r="A62" s="27" t="s">
        <v>324</v>
      </c>
      <c r="B62" s="28"/>
      <c r="C62" s="28"/>
      <c r="D62" s="28"/>
    </row>
    <row r="63" spans="1:4" x14ac:dyDescent="0.35">
      <c r="A63" s="18"/>
      <c r="B63" s="18"/>
      <c r="C63" s="18"/>
      <c r="D63" s="18"/>
    </row>
    <row r="64" spans="1:4" x14ac:dyDescent="0.35">
      <c r="A64" s="29" t="s">
        <v>325</v>
      </c>
      <c r="B64" s="29" t="s">
        <v>326</v>
      </c>
      <c r="C64" s="29" t="s">
        <v>327</v>
      </c>
      <c r="D64" s="29"/>
    </row>
    <row r="65" spans="1:4" x14ac:dyDescent="0.35">
      <c r="A65" s="18" t="s">
        <v>328</v>
      </c>
      <c r="B65" s="18" t="s">
        <v>329</v>
      </c>
      <c r="C65" s="18" t="s">
        <v>330</v>
      </c>
      <c r="D65" s="18"/>
    </row>
    <row r="66" spans="1:4" x14ac:dyDescent="0.35">
      <c r="A66" s="18" t="s">
        <v>331</v>
      </c>
      <c r="B66" s="18" t="s">
        <v>332</v>
      </c>
      <c r="C66" s="18" t="s">
        <v>333</v>
      </c>
      <c r="D66" s="18"/>
    </row>
    <row r="67" spans="1:4" x14ac:dyDescent="0.35">
      <c r="A67" s="18" t="s">
        <v>334</v>
      </c>
      <c r="B67" s="18" t="s">
        <v>335</v>
      </c>
      <c r="C67" s="18" t="s">
        <v>336</v>
      </c>
      <c r="D67" s="18"/>
    </row>
    <row r="68" spans="1:4" x14ac:dyDescent="0.35">
      <c r="A68" s="18" t="s">
        <v>337</v>
      </c>
      <c r="B68" s="18" t="s">
        <v>338</v>
      </c>
      <c r="C68" s="18" t="s">
        <v>339</v>
      </c>
      <c r="D68" s="18"/>
    </row>
    <row r="69" spans="1:4" x14ac:dyDescent="0.35">
      <c r="A69" s="18" t="s">
        <v>340</v>
      </c>
      <c r="B69" s="18" t="s">
        <v>341</v>
      </c>
      <c r="C69" s="18" t="s">
        <v>342</v>
      </c>
      <c r="D69" s="18"/>
    </row>
    <row r="70" spans="1:4" x14ac:dyDescent="0.35">
      <c r="A70" s="18" t="s">
        <v>789</v>
      </c>
      <c r="B70" s="18" t="s">
        <v>343</v>
      </c>
      <c r="C70" s="18" t="s">
        <v>344</v>
      </c>
      <c r="D70" s="18"/>
    </row>
    <row r="71" spans="1:4" x14ac:dyDescent="0.35">
      <c r="A71" s="18" t="s">
        <v>790</v>
      </c>
      <c r="B71" s="18" t="s">
        <v>345</v>
      </c>
      <c r="C71" s="18" t="s">
        <v>346</v>
      </c>
      <c r="D71" s="18"/>
    </row>
    <row r="72" spans="1:4" x14ac:dyDescent="0.35">
      <c r="A72" s="18" t="s">
        <v>791</v>
      </c>
      <c r="B72" s="18" t="s">
        <v>347</v>
      </c>
      <c r="C72" s="18" t="s">
        <v>348</v>
      </c>
      <c r="D72" s="18"/>
    </row>
    <row r="73" spans="1:4" x14ac:dyDescent="0.35">
      <c r="A73" s="18"/>
      <c r="B73" s="18"/>
      <c r="C73" s="18"/>
      <c r="D73" s="18"/>
    </row>
    <row r="74" spans="1:4" ht="17" x14ac:dyDescent="0.4">
      <c r="A74" s="81" t="s">
        <v>676</v>
      </c>
      <c r="B74" s="81"/>
      <c r="C74" s="28"/>
      <c r="D74" s="28"/>
    </row>
    <row r="75" spans="1:4" x14ac:dyDescent="0.35">
      <c r="A75" s="82" t="s">
        <v>677</v>
      </c>
      <c r="B75" s="18"/>
      <c r="C75" s="18"/>
      <c r="D75" s="18"/>
    </row>
    <row r="76" spans="1:4" x14ac:dyDescent="0.35">
      <c r="A76" s="82" t="s">
        <v>678</v>
      </c>
      <c r="C76" s="18"/>
      <c r="D76" s="18"/>
    </row>
    <row r="77" spans="1:4" x14ac:dyDescent="0.35">
      <c r="A77" s="82" t="s">
        <v>679</v>
      </c>
      <c r="C77" s="18"/>
      <c r="D77" s="18"/>
    </row>
    <row r="78" spans="1:4" x14ac:dyDescent="0.35">
      <c r="A78" s="82" t="s">
        <v>680</v>
      </c>
      <c r="C78" s="18"/>
      <c r="D78" s="18"/>
    </row>
    <row r="79" spans="1:4" x14ac:dyDescent="0.35">
      <c r="A79" s="83"/>
      <c r="C79" s="18"/>
      <c r="D79" s="18"/>
    </row>
    <row r="80" spans="1:4" x14ac:dyDescent="0.35">
      <c r="A80" s="91" t="s">
        <v>681</v>
      </c>
      <c r="C80" s="18"/>
      <c r="D80" s="18"/>
    </row>
    <row r="81" spans="1:4" x14ac:dyDescent="0.35">
      <c r="A81" s="82" t="s">
        <v>682</v>
      </c>
      <c r="C81" s="18"/>
      <c r="D81" s="18"/>
    </row>
    <row r="82" spans="1:4" x14ac:dyDescent="0.35">
      <c r="A82" s="82" t="s">
        <v>683</v>
      </c>
      <c r="C82" s="18"/>
      <c r="D82" s="18"/>
    </row>
    <row r="83" spans="1:4" x14ac:dyDescent="0.35">
      <c r="A83" s="82" t="s">
        <v>684</v>
      </c>
      <c r="C83" s="18"/>
      <c r="D83" s="18"/>
    </row>
    <row r="84" spans="1:4" x14ac:dyDescent="0.35">
      <c r="A84" s="20"/>
      <c r="B84" s="18"/>
      <c r="C84" s="18"/>
      <c r="D84" s="18"/>
    </row>
    <row r="85" spans="1:4" ht="19.5" customHeight="1" x14ac:dyDescent="0.35">
      <c r="A85" s="86" t="s">
        <v>685</v>
      </c>
      <c r="B85" s="86"/>
      <c r="C85" s="85"/>
      <c r="D85" s="85"/>
    </row>
    <row r="86" spans="1:4" x14ac:dyDescent="0.35">
      <c r="A86" s="82" t="s">
        <v>686</v>
      </c>
    </row>
    <row r="87" spans="1:4" x14ac:dyDescent="0.35">
      <c r="A87" s="82" t="s">
        <v>687</v>
      </c>
    </row>
    <row r="88" spans="1:4" x14ac:dyDescent="0.35">
      <c r="A88" s="87" t="s">
        <v>688</v>
      </c>
    </row>
    <row r="89" spans="1:4" x14ac:dyDescent="0.35">
      <c r="A89" s="82"/>
    </row>
    <row r="90" spans="1:4" x14ac:dyDescent="0.35">
      <c r="A90" s="88" t="s">
        <v>793</v>
      </c>
    </row>
    <row r="92" spans="1:4" x14ac:dyDescent="0.35">
      <c r="A92" s="82" t="s">
        <v>349</v>
      </c>
    </row>
    <row r="93" spans="1:4" x14ac:dyDescent="0.35">
      <c r="A93" s="82" t="s">
        <v>350</v>
      </c>
    </row>
    <row r="94" spans="1:4" x14ac:dyDescent="0.35">
      <c r="A94" s="82" t="s">
        <v>351</v>
      </c>
    </row>
    <row r="95" spans="1:4" x14ac:dyDescent="0.35">
      <c r="A95" s="82" t="s">
        <v>352</v>
      </c>
    </row>
    <row r="96" spans="1:4" x14ac:dyDescent="0.35">
      <c r="A96" s="82" t="s">
        <v>353</v>
      </c>
    </row>
    <row r="97" spans="1:1" x14ac:dyDescent="0.35">
      <c r="A97" s="82" t="s">
        <v>354</v>
      </c>
    </row>
    <row r="98" spans="1:1" x14ac:dyDescent="0.35">
      <c r="A98" s="82" t="s">
        <v>792</v>
      </c>
    </row>
    <row r="99" spans="1:1" x14ac:dyDescent="0.35">
      <c r="A99" s="82" t="s">
        <v>355</v>
      </c>
    </row>
  </sheetData>
  <mergeCells count="5">
    <mergeCell ref="A1:D1"/>
    <mergeCell ref="A2:D2"/>
    <mergeCell ref="A85:B85"/>
    <mergeCell ref="A24:B24"/>
    <mergeCell ref="A74:B7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7FC6-097A-4837-8F35-AF57BE93C1F0}">
  <dimension ref="A1:D148"/>
  <sheetViews>
    <sheetView topLeftCell="A141" workbookViewId="0">
      <selection activeCell="B153" sqref="B153"/>
    </sheetView>
  </sheetViews>
  <sheetFormatPr defaultRowHeight="14.5" x14ac:dyDescent="0.35"/>
  <cols>
    <col min="1" max="1" width="36.26953125" customWidth="1"/>
    <col min="2" max="2" width="54.54296875" customWidth="1"/>
    <col min="3" max="3" width="45.453125" customWidth="1"/>
    <col min="4" max="4" width="27.26953125" customWidth="1"/>
  </cols>
  <sheetData>
    <row r="1" spans="1:4" ht="24" customHeight="1" x14ac:dyDescent="0.55000000000000004">
      <c r="A1" s="63" t="s">
        <v>356</v>
      </c>
      <c r="B1" s="64"/>
      <c r="C1" s="64"/>
      <c r="D1" s="64"/>
    </row>
    <row r="2" spans="1:4" ht="15" x14ac:dyDescent="0.4">
      <c r="A2" s="65" t="s">
        <v>357</v>
      </c>
      <c r="B2" s="64"/>
      <c r="C2" s="64"/>
      <c r="D2" s="64"/>
    </row>
    <row r="3" spans="1:4" x14ac:dyDescent="0.35">
      <c r="A3" s="18"/>
      <c r="B3" s="18"/>
      <c r="C3" s="18"/>
      <c r="D3" s="18"/>
    </row>
    <row r="4" spans="1:4" ht="17" x14ac:dyDescent="0.4">
      <c r="A4" s="66" t="s">
        <v>358</v>
      </c>
      <c r="B4" s="66"/>
      <c r="C4" s="66"/>
      <c r="D4" s="28"/>
    </row>
    <row r="5" spans="1:4" x14ac:dyDescent="0.35">
      <c r="A5" s="18"/>
      <c r="B5" s="18"/>
      <c r="C5" s="18"/>
      <c r="D5" s="18"/>
    </row>
    <row r="6" spans="1:4" x14ac:dyDescent="0.35">
      <c r="A6" s="29" t="s">
        <v>359</v>
      </c>
      <c r="B6" s="29" t="s">
        <v>360</v>
      </c>
      <c r="C6" s="29" t="s">
        <v>325</v>
      </c>
      <c r="D6" s="29" t="s">
        <v>794</v>
      </c>
    </row>
    <row r="7" spans="1:4" x14ac:dyDescent="0.35">
      <c r="A7" s="18">
        <v>1</v>
      </c>
      <c r="B7" s="18" t="s">
        <v>361</v>
      </c>
      <c r="C7" s="18" t="s">
        <v>362</v>
      </c>
      <c r="D7" s="18" t="s">
        <v>363</v>
      </c>
    </row>
    <row r="8" spans="1:4" x14ac:dyDescent="0.35">
      <c r="A8" s="18">
        <v>2</v>
      </c>
      <c r="B8" s="18" t="s">
        <v>364</v>
      </c>
      <c r="C8" s="18" t="s">
        <v>331</v>
      </c>
      <c r="D8" s="18" t="s">
        <v>365</v>
      </c>
    </row>
    <row r="9" spans="1:4" x14ac:dyDescent="0.35">
      <c r="A9" s="18">
        <v>3</v>
      </c>
      <c r="B9" s="18" t="s">
        <v>366</v>
      </c>
      <c r="C9" s="18" t="s">
        <v>334</v>
      </c>
      <c r="D9" s="18" t="s">
        <v>367</v>
      </c>
    </row>
    <row r="10" spans="1:4" x14ac:dyDescent="0.35">
      <c r="A10" s="18">
        <v>4</v>
      </c>
      <c r="B10" s="18" t="s">
        <v>368</v>
      </c>
      <c r="C10" s="18" t="s">
        <v>337</v>
      </c>
      <c r="D10" s="18" t="s">
        <v>369</v>
      </c>
    </row>
    <row r="11" spans="1:4" x14ac:dyDescent="0.35">
      <c r="A11" s="18">
        <v>5</v>
      </c>
      <c r="B11" s="18" t="s">
        <v>370</v>
      </c>
      <c r="C11" s="18" t="s">
        <v>328</v>
      </c>
      <c r="D11" s="18" t="s">
        <v>365</v>
      </c>
    </row>
    <row r="12" spans="1:4" x14ac:dyDescent="0.35">
      <c r="A12" s="18">
        <v>6</v>
      </c>
      <c r="B12" s="18" t="s">
        <v>371</v>
      </c>
      <c r="C12" s="18" t="s">
        <v>372</v>
      </c>
      <c r="D12" s="18" t="s">
        <v>369</v>
      </c>
    </row>
    <row r="13" spans="1:4" x14ac:dyDescent="0.35">
      <c r="A13" s="18"/>
      <c r="B13" s="18"/>
      <c r="C13" s="18"/>
      <c r="D13" s="18"/>
    </row>
    <row r="14" spans="1:4" ht="17" x14ac:dyDescent="0.4">
      <c r="A14" s="66" t="s">
        <v>373</v>
      </c>
      <c r="B14" s="66"/>
      <c r="C14" s="66"/>
      <c r="D14" s="28"/>
    </row>
    <row r="15" spans="1:4" x14ac:dyDescent="0.35">
      <c r="A15" s="18"/>
      <c r="B15" s="18"/>
      <c r="C15" s="18"/>
      <c r="D15" s="18"/>
    </row>
    <row r="16" spans="1:4" x14ac:dyDescent="0.35">
      <c r="A16" s="89" t="s">
        <v>374</v>
      </c>
      <c r="B16" s="18"/>
      <c r="C16" s="18"/>
      <c r="D16" s="18"/>
    </row>
    <row r="17" spans="1:4" x14ac:dyDescent="0.35">
      <c r="A17" s="29" t="s">
        <v>375</v>
      </c>
      <c r="B17" s="29" t="s">
        <v>376</v>
      </c>
      <c r="C17" s="29" t="s">
        <v>377</v>
      </c>
      <c r="D17" s="29"/>
    </row>
    <row r="18" spans="1:4" x14ac:dyDescent="0.35">
      <c r="A18" s="18" t="s">
        <v>378</v>
      </c>
      <c r="B18" s="18" t="s">
        <v>379</v>
      </c>
      <c r="C18" s="18" t="s">
        <v>380</v>
      </c>
      <c r="D18" s="18"/>
    </row>
    <row r="19" spans="1:4" x14ac:dyDescent="0.35">
      <c r="A19" s="18" t="s">
        <v>381</v>
      </c>
      <c r="B19" s="18" t="s">
        <v>382</v>
      </c>
      <c r="C19" s="18" t="s">
        <v>383</v>
      </c>
      <c r="D19" s="18"/>
    </row>
    <row r="20" spans="1:4" x14ac:dyDescent="0.35">
      <c r="A20" s="18" t="s">
        <v>384</v>
      </c>
      <c r="B20" s="18" t="s">
        <v>385</v>
      </c>
      <c r="C20" s="18" t="s">
        <v>386</v>
      </c>
      <c r="D20" s="18"/>
    </row>
    <row r="21" spans="1:4" x14ac:dyDescent="0.35">
      <c r="A21" s="18" t="s">
        <v>387</v>
      </c>
      <c r="B21" s="18" t="s">
        <v>388</v>
      </c>
      <c r="C21" s="18" t="s">
        <v>389</v>
      </c>
      <c r="D21" s="18"/>
    </row>
    <row r="22" spans="1:4" x14ac:dyDescent="0.35">
      <c r="A22" s="18" t="s">
        <v>390</v>
      </c>
      <c r="B22" s="18" t="s">
        <v>391</v>
      </c>
      <c r="C22" s="18" t="s">
        <v>392</v>
      </c>
      <c r="D22" s="18"/>
    </row>
    <row r="23" spans="1:4" x14ac:dyDescent="0.35">
      <c r="A23" s="18" t="s">
        <v>393</v>
      </c>
      <c r="B23" s="18" t="s">
        <v>394</v>
      </c>
      <c r="C23" s="18" t="s">
        <v>395</v>
      </c>
      <c r="D23" s="18"/>
    </row>
    <row r="24" spans="1:4" x14ac:dyDescent="0.35">
      <c r="A24" s="18" t="s">
        <v>396</v>
      </c>
      <c r="B24" s="18" t="s">
        <v>397</v>
      </c>
      <c r="C24" s="18" t="s">
        <v>398</v>
      </c>
      <c r="D24" s="18"/>
    </row>
    <row r="25" spans="1:4" x14ac:dyDescent="0.35">
      <c r="A25" s="18"/>
      <c r="B25" s="18"/>
      <c r="C25" s="18"/>
      <c r="D25" s="18"/>
    </row>
    <row r="26" spans="1:4" x14ac:dyDescent="0.35">
      <c r="A26" s="31" t="s">
        <v>399</v>
      </c>
      <c r="B26" s="30"/>
      <c r="C26" s="30"/>
      <c r="D26" s="30"/>
    </row>
    <row r="27" spans="1:4" x14ac:dyDescent="0.35">
      <c r="A27" s="18" t="s">
        <v>400</v>
      </c>
      <c r="B27" s="18"/>
      <c r="C27" s="18"/>
      <c r="D27" s="18"/>
    </row>
    <row r="28" spans="1:4" ht="29" x14ac:dyDescent="0.35">
      <c r="A28" s="18" t="s">
        <v>401</v>
      </c>
      <c r="B28" s="18"/>
      <c r="C28" s="18"/>
      <c r="D28" s="18"/>
    </row>
    <row r="29" spans="1:4" x14ac:dyDescent="0.35">
      <c r="A29" s="18" t="s">
        <v>402</v>
      </c>
      <c r="B29" s="18"/>
      <c r="C29" s="18"/>
      <c r="D29" s="18"/>
    </row>
    <row r="30" spans="1:4" x14ac:dyDescent="0.35">
      <c r="A30" s="18" t="s">
        <v>403</v>
      </c>
      <c r="B30" s="18"/>
      <c r="C30" s="18"/>
      <c r="D30" s="18"/>
    </row>
    <row r="31" spans="1:4" x14ac:dyDescent="0.35">
      <c r="A31" s="18" t="s">
        <v>404</v>
      </c>
      <c r="B31" s="18"/>
      <c r="C31" s="18"/>
      <c r="D31" s="18"/>
    </row>
    <row r="32" spans="1:4" x14ac:dyDescent="0.35">
      <c r="A32" s="18"/>
      <c r="B32" s="18"/>
      <c r="C32" s="18"/>
      <c r="D32" s="18"/>
    </row>
    <row r="33" spans="1:4" ht="17" x14ac:dyDescent="0.4">
      <c r="A33" s="66" t="s">
        <v>405</v>
      </c>
      <c r="B33" s="66"/>
      <c r="C33" s="66"/>
      <c r="D33" s="28"/>
    </row>
    <row r="34" spans="1:4" x14ac:dyDescent="0.35">
      <c r="A34" s="18"/>
      <c r="B34" s="18"/>
      <c r="C34" s="18"/>
      <c r="D34" s="18"/>
    </row>
    <row r="35" spans="1:4" ht="29" x14ac:dyDescent="0.35">
      <c r="A35" s="20" t="s">
        <v>795</v>
      </c>
      <c r="B35" s="20" t="s">
        <v>406</v>
      </c>
      <c r="C35" s="18"/>
      <c r="D35" s="18"/>
    </row>
    <row r="36" spans="1:4" x14ac:dyDescent="0.35">
      <c r="A36" s="18"/>
      <c r="B36" s="18"/>
      <c r="C36" s="18"/>
      <c r="D36" s="18"/>
    </row>
    <row r="37" spans="1:4" x14ac:dyDescent="0.35">
      <c r="A37" s="29" t="s">
        <v>3</v>
      </c>
      <c r="B37" s="29" t="s">
        <v>407</v>
      </c>
      <c r="C37" s="29" t="s">
        <v>408</v>
      </c>
      <c r="D37" s="29" t="s">
        <v>409</v>
      </c>
    </row>
    <row r="38" spans="1:4" x14ac:dyDescent="0.35">
      <c r="A38" s="18" t="s">
        <v>6</v>
      </c>
      <c r="B38" s="18" t="s">
        <v>410</v>
      </c>
      <c r="C38" s="18" t="s">
        <v>411</v>
      </c>
      <c r="D38" s="18" t="s">
        <v>412</v>
      </c>
    </row>
    <row r="39" spans="1:4" x14ac:dyDescent="0.35">
      <c r="A39" s="18" t="s">
        <v>413</v>
      </c>
      <c r="B39" s="18" t="s">
        <v>414</v>
      </c>
      <c r="C39" s="18" t="s">
        <v>415</v>
      </c>
      <c r="D39" s="18" t="s">
        <v>416</v>
      </c>
    </row>
    <row r="40" spans="1:4" x14ac:dyDescent="0.35">
      <c r="A40" s="18" t="s">
        <v>203</v>
      </c>
      <c r="B40" s="18" t="s">
        <v>417</v>
      </c>
      <c r="C40" s="18" t="s">
        <v>418</v>
      </c>
      <c r="D40" s="18" t="s">
        <v>412</v>
      </c>
    </row>
    <row r="41" spans="1:4" x14ac:dyDescent="0.35">
      <c r="A41" s="18" t="s">
        <v>12</v>
      </c>
      <c r="B41" s="18" t="s">
        <v>419</v>
      </c>
      <c r="C41" s="18" t="s">
        <v>420</v>
      </c>
      <c r="D41" s="18" t="s">
        <v>421</v>
      </c>
    </row>
    <row r="42" spans="1:4" x14ac:dyDescent="0.35">
      <c r="A42" s="18" t="s">
        <v>422</v>
      </c>
      <c r="B42" s="18" t="s">
        <v>423</v>
      </c>
      <c r="C42" s="18" t="s">
        <v>424</v>
      </c>
      <c r="D42" s="18" t="s">
        <v>416</v>
      </c>
    </row>
    <row r="43" spans="1:4" x14ac:dyDescent="0.35">
      <c r="A43" s="18" t="s">
        <v>18</v>
      </c>
      <c r="B43" s="18" t="s">
        <v>425</v>
      </c>
      <c r="C43" s="18" t="s">
        <v>426</v>
      </c>
      <c r="D43" s="18" t="s">
        <v>427</v>
      </c>
    </row>
    <row r="44" spans="1:4" x14ac:dyDescent="0.35">
      <c r="A44" s="18" t="s">
        <v>428</v>
      </c>
      <c r="B44" s="18" t="s">
        <v>429</v>
      </c>
      <c r="C44" s="18" t="s">
        <v>430</v>
      </c>
      <c r="D44" s="18" t="s">
        <v>431</v>
      </c>
    </row>
    <row r="45" spans="1:4" x14ac:dyDescent="0.35">
      <c r="A45" s="18"/>
      <c r="B45" s="18"/>
      <c r="C45" s="18"/>
      <c r="D45" s="18"/>
    </row>
    <row r="46" spans="1:4" ht="29" x14ac:dyDescent="0.35">
      <c r="A46" s="29" t="s">
        <v>432</v>
      </c>
      <c r="B46" s="29" t="s">
        <v>433</v>
      </c>
      <c r="C46" s="29"/>
      <c r="D46" s="29"/>
    </row>
    <row r="47" spans="1:4" x14ac:dyDescent="0.35">
      <c r="A47" s="18" t="s">
        <v>434</v>
      </c>
      <c r="B47" s="18" t="s">
        <v>435</v>
      </c>
      <c r="C47" s="18" t="s">
        <v>436</v>
      </c>
      <c r="D47" s="18" t="s">
        <v>437</v>
      </c>
    </row>
    <row r="48" spans="1:4" x14ac:dyDescent="0.35">
      <c r="A48" s="18" t="s">
        <v>27</v>
      </c>
      <c r="B48" s="18" t="s">
        <v>438</v>
      </c>
      <c r="C48" s="18" t="s">
        <v>439</v>
      </c>
      <c r="D48" s="18" t="s">
        <v>440</v>
      </c>
    </row>
    <row r="49" spans="1:4" x14ac:dyDescent="0.35">
      <c r="A49" s="18" t="s">
        <v>441</v>
      </c>
      <c r="B49" s="18" t="s">
        <v>442</v>
      </c>
      <c r="C49" s="18" t="s">
        <v>443</v>
      </c>
      <c r="D49" s="18" t="s">
        <v>444</v>
      </c>
    </row>
    <row r="50" spans="1:4" x14ac:dyDescent="0.35">
      <c r="A50" s="18" t="s">
        <v>31</v>
      </c>
      <c r="B50" s="18" t="s">
        <v>445</v>
      </c>
      <c r="C50" s="18" t="s">
        <v>446</v>
      </c>
      <c r="D50" s="18" t="s">
        <v>447</v>
      </c>
    </row>
    <row r="51" spans="1:4" x14ac:dyDescent="0.35">
      <c r="A51" s="18"/>
      <c r="B51" s="18"/>
      <c r="C51" s="18"/>
      <c r="D51" s="18"/>
    </row>
    <row r="52" spans="1:4" x14ac:dyDescent="0.35">
      <c r="A52" s="20" t="s">
        <v>448</v>
      </c>
      <c r="B52" s="20" t="s">
        <v>449</v>
      </c>
      <c r="C52" s="18"/>
      <c r="D52" s="18"/>
    </row>
    <row r="53" spans="1:4" x14ac:dyDescent="0.35">
      <c r="A53" s="18" t="s">
        <v>37</v>
      </c>
      <c r="B53" s="18" t="s">
        <v>450</v>
      </c>
      <c r="C53" s="18" t="s">
        <v>451</v>
      </c>
      <c r="D53" s="18" t="s">
        <v>452</v>
      </c>
    </row>
    <row r="54" spans="1:4" x14ac:dyDescent="0.35">
      <c r="A54" s="18" t="s">
        <v>39</v>
      </c>
      <c r="B54" s="18" t="s">
        <v>453</v>
      </c>
      <c r="C54" s="18" t="s">
        <v>451</v>
      </c>
      <c r="D54" s="18" t="s">
        <v>454</v>
      </c>
    </row>
    <row r="55" spans="1:4" x14ac:dyDescent="0.35">
      <c r="A55" s="18" t="s">
        <v>204</v>
      </c>
      <c r="B55" s="18" t="s">
        <v>455</v>
      </c>
      <c r="C55" s="18" t="s">
        <v>451</v>
      </c>
      <c r="D55" s="18" t="s">
        <v>456</v>
      </c>
    </row>
    <row r="56" spans="1:4" x14ac:dyDescent="0.35">
      <c r="A56" s="18" t="s">
        <v>457</v>
      </c>
      <c r="B56" s="18" t="s">
        <v>458</v>
      </c>
      <c r="C56" s="18" t="s">
        <v>459</v>
      </c>
      <c r="D56" s="18" t="s">
        <v>460</v>
      </c>
    </row>
    <row r="57" spans="1:4" x14ac:dyDescent="0.35">
      <c r="A57" s="18"/>
      <c r="B57" s="18"/>
      <c r="C57" s="18"/>
      <c r="D57" s="18"/>
    </row>
    <row r="58" spans="1:4" ht="34" customHeight="1" x14ac:dyDescent="0.4">
      <c r="A58" s="66" t="s">
        <v>461</v>
      </c>
      <c r="B58" s="66"/>
      <c r="C58" s="28"/>
      <c r="D58" s="28"/>
    </row>
    <row r="59" spans="1:4" x14ac:dyDescent="0.35">
      <c r="A59" s="18"/>
      <c r="B59" s="18"/>
      <c r="C59" s="18"/>
      <c r="D59" s="18"/>
    </row>
    <row r="60" spans="1:4" ht="29" x14ac:dyDescent="0.35">
      <c r="A60" s="18" t="s">
        <v>138</v>
      </c>
      <c r="B60" s="18" t="s">
        <v>462</v>
      </c>
      <c r="C60" s="18"/>
      <c r="D60" s="18"/>
    </row>
    <row r="61" spans="1:4" x14ac:dyDescent="0.35">
      <c r="A61" s="18"/>
      <c r="B61" s="18"/>
      <c r="C61" s="18"/>
      <c r="D61" s="18"/>
    </row>
    <row r="62" spans="1:4" x14ac:dyDescent="0.35">
      <c r="A62" s="18" t="s">
        <v>463</v>
      </c>
      <c r="B62" s="18"/>
      <c r="C62" s="18"/>
      <c r="D62" s="18"/>
    </row>
    <row r="63" spans="1:4" x14ac:dyDescent="0.35">
      <c r="A63" s="29" t="s">
        <v>464</v>
      </c>
      <c r="B63" s="29" t="s">
        <v>465</v>
      </c>
      <c r="C63" s="29" t="s">
        <v>407</v>
      </c>
      <c r="D63" s="29" t="s">
        <v>466</v>
      </c>
    </row>
    <row r="64" spans="1:4" x14ac:dyDescent="0.35">
      <c r="A64" s="18" t="s">
        <v>467</v>
      </c>
      <c r="B64" s="18" t="s">
        <v>468</v>
      </c>
      <c r="C64" s="18" t="s">
        <v>469</v>
      </c>
      <c r="D64" s="18" t="s">
        <v>470</v>
      </c>
    </row>
    <row r="65" spans="1:4" x14ac:dyDescent="0.35">
      <c r="A65" s="18" t="s">
        <v>471</v>
      </c>
      <c r="B65" s="18" t="s">
        <v>472</v>
      </c>
      <c r="C65" s="18" t="s">
        <v>473</v>
      </c>
      <c r="D65" s="18" t="s">
        <v>474</v>
      </c>
    </row>
    <row r="66" spans="1:4" x14ac:dyDescent="0.35">
      <c r="A66" s="18" t="s">
        <v>475</v>
      </c>
      <c r="B66" s="18" t="s">
        <v>476</v>
      </c>
      <c r="C66" s="18" t="s">
        <v>477</v>
      </c>
      <c r="D66" s="18" t="s">
        <v>478</v>
      </c>
    </row>
    <row r="67" spans="1:4" x14ac:dyDescent="0.35">
      <c r="A67" s="18" t="s">
        <v>479</v>
      </c>
      <c r="B67" s="18" t="s">
        <v>480</v>
      </c>
      <c r="C67" s="18" t="s">
        <v>481</v>
      </c>
      <c r="D67" s="18" t="s">
        <v>482</v>
      </c>
    </row>
    <row r="68" spans="1:4" x14ac:dyDescent="0.35">
      <c r="A68" s="18" t="s">
        <v>483</v>
      </c>
      <c r="B68" s="18" t="s">
        <v>484</v>
      </c>
      <c r="C68" s="18" t="s">
        <v>485</v>
      </c>
      <c r="D68" s="18" t="s">
        <v>486</v>
      </c>
    </row>
    <row r="69" spans="1:4" x14ac:dyDescent="0.35">
      <c r="A69" s="18"/>
      <c r="B69" s="18"/>
      <c r="C69" s="18"/>
      <c r="D69" s="18"/>
    </row>
    <row r="70" spans="1:4" x14ac:dyDescent="0.35">
      <c r="A70" s="18" t="s">
        <v>487</v>
      </c>
      <c r="B70" s="18"/>
      <c r="C70" s="18"/>
      <c r="D70" s="18"/>
    </row>
    <row r="71" spans="1:4" x14ac:dyDescent="0.35">
      <c r="A71" s="29" t="s">
        <v>163</v>
      </c>
      <c r="B71" s="29" t="s">
        <v>488</v>
      </c>
      <c r="C71" s="29" t="s">
        <v>489</v>
      </c>
      <c r="D71" s="29"/>
    </row>
    <row r="72" spans="1:4" x14ac:dyDescent="0.35">
      <c r="A72" s="18" t="s">
        <v>490</v>
      </c>
      <c r="B72" s="18" t="s">
        <v>491</v>
      </c>
      <c r="C72" s="18" t="s">
        <v>492</v>
      </c>
      <c r="D72" s="18"/>
    </row>
    <row r="73" spans="1:4" x14ac:dyDescent="0.35">
      <c r="A73" s="18" t="s">
        <v>493</v>
      </c>
      <c r="B73" s="18" t="s">
        <v>494</v>
      </c>
      <c r="C73" s="18" t="s">
        <v>495</v>
      </c>
      <c r="D73" s="18"/>
    </row>
    <row r="74" spans="1:4" x14ac:dyDescent="0.35">
      <c r="A74" s="18" t="s">
        <v>496</v>
      </c>
      <c r="B74" s="18" t="s">
        <v>497</v>
      </c>
      <c r="C74" s="18" t="s">
        <v>498</v>
      </c>
      <c r="D74" s="18"/>
    </row>
    <row r="75" spans="1:4" x14ac:dyDescent="0.35">
      <c r="A75" s="18" t="s">
        <v>499</v>
      </c>
      <c r="B75" s="18" t="s">
        <v>500</v>
      </c>
      <c r="C75" s="18" t="s">
        <v>501</v>
      </c>
      <c r="D75" s="18"/>
    </row>
    <row r="76" spans="1:4" s="93" customFormat="1" x14ac:dyDescent="0.35">
      <c r="A76" s="92" t="s">
        <v>502</v>
      </c>
      <c r="B76" s="92" t="s">
        <v>503</v>
      </c>
      <c r="C76" s="92" t="s">
        <v>504</v>
      </c>
      <c r="D76" s="92"/>
    </row>
    <row r="77" spans="1:4" x14ac:dyDescent="0.35">
      <c r="A77" s="18"/>
      <c r="B77" s="18"/>
      <c r="C77" s="18"/>
      <c r="D77" s="18"/>
    </row>
    <row r="78" spans="1:4" x14ac:dyDescent="0.35">
      <c r="A78" s="20" t="s">
        <v>505</v>
      </c>
      <c r="B78" s="18"/>
      <c r="C78" s="18"/>
      <c r="D78" s="18"/>
    </row>
    <row r="79" spans="1:4" x14ac:dyDescent="0.35">
      <c r="A79" s="31" t="s">
        <v>162</v>
      </c>
      <c r="B79" s="31" t="s">
        <v>506</v>
      </c>
      <c r="C79" s="31" t="s">
        <v>507</v>
      </c>
      <c r="D79" s="31"/>
    </row>
    <row r="80" spans="1:4" ht="29" x14ac:dyDescent="0.35">
      <c r="A80" s="18" t="s">
        <v>166</v>
      </c>
      <c r="B80" s="18" t="s">
        <v>508</v>
      </c>
      <c r="C80" s="18" t="s">
        <v>509</v>
      </c>
      <c r="D80" s="18"/>
    </row>
    <row r="81" spans="1:4" s="93" customFormat="1" ht="29" x14ac:dyDescent="0.35">
      <c r="A81" s="92" t="s">
        <v>217</v>
      </c>
      <c r="B81" s="92" t="s">
        <v>510</v>
      </c>
      <c r="C81" s="92" t="s">
        <v>511</v>
      </c>
      <c r="D81" s="92"/>
    </row>
    <row r="82" spans="1:4" ht="29" x14ac:dyDescent="0.35">
      <c r="A82" s="18" t="s">
        <v>170</v>
      </c>
      <c r="B82" s="18" t="s">
        <v>512</v>
      </c>
      <c r="C82" s="18" t="s">
        <v>513</v>
      </c>
      <c r="D82" s="18"/>
    </row>
    <row r="83" spans="1:4" x14ac:dyDescent="0.35">
      <c r="A83" s="18" t="s">
        <v>172</v>
      </c>
      <c r="B83" s="18" t="s">
        <v>514</v>
      </c>
      <c r="C83" s="18" t="s">
        <v>515</v>
      </c>
      <c r="D83" s="18"/>
    </row>
    <row r="84" spans="1:4" ht="29" x14ac:dyDescent="0.35">
      <c r="A84" s="18" t="s">
        <v>174</v>
      </c>
      <c r="B84" s="18" t="s">
        <v>516</v>
      </c>
      <c r="C84" s="18" t="s">
        <v>517</v>
      </c>
      <c r="D84" s="18"/>
    </row>
    <row r="85" spans="1:4" ht="29" x14ac:dyDescent="0.35">
      <c r="A85" s="18" t="s">
        <v>218</v>
      </c>
      <c r="B85" s="18" t="s">
        <v>518</v>
      </c>
      <c r="C85" s="18" t="s">
        <v>519</v>
      </c>
      <c r="D85" s="18"/>
    </row>
    <row r="86" spans="1:4" ht="29" x14ac:dyDescent="0.35">
      <c r="A86" s="18" t="s">
        <v>219</v>
      </c>
      <c r="B86" s="18" t="s">
        <v>520</v>
      </c>
      <c r="C86" s="18" t="s">
        <v>521</v>
      </c>
      <c r="D86" s="18"/>
    </row>
    <row r="87" spans="1:4" ht="29" x14ac:dyDescent="0.35">
      <c r="A87" s="18" t="s">
        <v>180</v>
      </c>
      <c r="B87" s="18" t="s">
        <v>522</v>
      </c>
      <c r="C87" s="18" t="s">
        <v>523</v>
      </c>
      <c r="D87" s="18"/>
    </row>
    <row r="88" spans="1:4" x14ac:dyDescent="0.35">
      <c r="A88" s="18" t="s">
        <v>182</v>
      </c>
      <c r="B88" s="18" t="s">
        <v>524</v>
      </c>
      <c r="C88" s="18" t="s">
        <v>525</v>
      </c>
      <c r="D88" s="18"/>
    </row>
    <row r="89" spans="1:4" x14ac:dyDescent="0.35">
      <c r="A89" s="18"/>
      <c r="B89" s="18"/>
      <c r="C89" s="18"/>
      <c r="D89" s="18"/>
    </row>
    <row r="90" spans="1:4" ht="29" customHeight="1" x14ac:dyDescent="0.4">
      <c r="A90" s="66" t="s">
        <v>526</v>
      </c>
      <c r="B90" s="66"/>
      <c r="C90" s="66" t="s">
        <v>526</v>
      </c>
      <c r="D90" s="66"/>
    </row>
    <row r="91" spans="1:4" x14ac:dyDescent="0.35">
      <c r="A91" s="18"/>
      <c r="B91" s="18"/>
      <c r="C91" s="18"/>
      <c r="D91" s="18"/>
    </row>
    <row r="92" spans="1:4" ht="29" x14ac:dyDescent="0.35">
      <c r="A92" s="18" t="s">
        <v>138</v>
      </c>
      <c r="B92" s="18" t="s">
        <v>527</v>
      </c>
      <c r="C92" s="18"/>
      <c r="D92" s="18"/>
    </row>
    <row r="93" spans="1:4" x14ac:dyDescent="0.35">
      <c r="A93" s="18"/>
      <c r="B93" s="18"/>
      <c r="C93" s="18"/>
      <c r="D93" s="18"/>
    </row>
    <row r="94" spans="1:4" ht="17" x14ac:dyDescent="0.4">
      <c r="A94" s="27" t="s">
        <v>528</v>
      </c>
      <c r="B94" s="28" t="s">
        <v>529</v>
      </c>
      <c r="C94" s="28" t="s">
        <v>407</v>
      </c>
      <c r="D94" s="28" t="s">
        <v>530</v>
      </c>
    </row>
    <row r="95" spans="1:4" x14ac:dyDescent="0.35">
      <c r="A95" s="18" t="s">
        <v>531</v>
      </c>
      <c r="B95" s="18" t="s">
        <v>532</v>
      </c>
      <c r="C95" s="18" t="s">
        <v>533</v>
      </c>
      <c r="D95" s="18" t="s">
        <v>534</v>
      </c>
    </row>
    <row r="96" spans="1:4" x14ac:dyDescent="0.35">
      <c r="A96" s="18" t="s">
        <v>535</v>
      </c>
      <c r="B96" s="18" t="s">
        <v>536</v>
      </c>
      <c r="C96" s="18" t="s">
        <v>537</v>
      </c>
      <c r="D96" s="18" t="s">
        <v>538</v>
      </c>
    </row>
    <row r="97" spans="1:4" x14ac:dyDescent="0.35">
      <c r="A97" s="18" t="s">
        <v>539</v>
      </c>
      <c r="B97" s="18" t="s">
        <v>540</v>
      </c>
      <c r="C97" s="18" t="s">
        <v>541</v>
      </c>
      <c r="D97" s="18" t="s">
        <v>542</v>
      </c>
    </row>
    <row r="98" spans="1:4" x14ac:dyDescent="0.35">
      <c r="A98" s="18" t="s">
        <v>543</v>
      </c>
      <c r="B98" s="18" t="s">
        <v>544</v>
      </c>
      <c r="C98" s="18" t="s">
        <v>545</v>
      </c>
      <c r="D98" s="18" t="s">
        <v>546</v>
      </c>
    </row>
    <row r="99" spans="1:4" x14ac:dyDescent="0.35">
      <c r="A99" s="29" t="s">
        <v>547</v>
      </c>
      <c r="B99" s="29" t="s">
        <v>548</v>
      </c>
      <c r="C99" s="29" t="s">
        <v>549</v>
      </c>
      <c r="D99" s="29" t="s">
        <v>550</v>
      </c>
    </row>
    <row r="100" spans="1:4" x14ac:dyDescent="0.35">
      <c r="A100" s="18"/>
      <c r="B100" s="18"/>
      <c r="C100" s="18"/>
      <c r="D100" s="18"/>
    </row>
    <row r="101" spans="1:4" x14ac:dyDescent="0.35">
      <c r="A101" s="18" t="s">
        <v>551</v>
      </c>
      <c r="B101" s="18"/>
      <c r="C101" s="18"/>
      <c r="D101" s="18"/>
    </row>
    <row r="102" spans="1:4" x14ac:dyDescent="0.35">
      <c r="A102" s="18" t="s">
        <v>116</v>
      </c>
      <c r="B102" s="18" t="s">
        <v>118</v>
      </c>
      <c r="C102" s="18" t="s">
        <v>552</v>
      </c>
      <c r="D102" s="18"/>
    </row>
    <row r="103" spans="1:4" x14ac:dyDescent="0.35">
      <c r="A103" s="18" t="s">
        <v>553</v>
      </c>
      <c r="B103" s="18" t="s">
        <v>121</v>
      </c>
      <c r="C103" s="18" t="s">
        <v>554</v>
      </c>
      <c r="D103" s="18"/>
    </row>
    <row r="104" spans="1:4" x14ac:dyDescent="0.35">
      <c r="A104" s="29" t="s">
        <v>555</v>
      </c>
      <c r="B104" s="29" t="s">
        <v>123</v>
      </c>
      <c r="C104" s="29" t="s">
        <v>556</v>
      </c>
      <c r="D104" s="29"/>
    </row>
    <row r="105" spans="1:4" x14ac:dyDescent="0.35">
      <c r="A105" s="18" t="s">
        <v>557</v>
      </c>
      <c r="B105" s="18" t="s">
        <v>125</v>
      </c>
      <c r="C105" s="18" t="s">
        <v>558</v>
      </c>
      <c r="D105" s="18"/>
    </row>
    <row r="106" spans="1:4" x14ac:dyDescent="0.35">
      <c r="A106" s="18" t="s">
        <v>126</v>
      </c>
      <c r="B106" s="18" t="s">
        <v>127</v>
      </c>
      <c r="C106" s="18" t="s">
        <v>559</v>
      </c>
      <c r="D106" s="18"/>
    </row>
    <row r="107" spans="1:4" x14ac:dyDescent="0.35">
      <c r="A107" s="18"/>
      <c r="B107" s="18"/>
      <c r="C107" s="18"/>
      <c r="D107" s="18"/>
    </row>
    <row r="108" spans="1:4" x14ac:dyDescent="0.35">
      <c r="A108" s="18" t="s">
        <v>560</v>
      </c>
      <c r="B108" s="18"/>
      <c r="C108" s="18"/>
      <c r="D108" s="18"/>
    </row>
    <row r="109" spans="1:4" x14ac:dyDescent="0.35">
      <c r="A109" s="29" t="s">
        <v>129</v>
      </c>
      <c r="B109" s="29" t="s">
        <v>561</v>
      </c>
      <c r="C109" s="29" t="s">
        <v>562</v>
      </c>
      <c r="D109" s="29" t="s">
        <v>563</v>
      </c>
    </row>
    <row r="110" spans="1:4" ht="15" customHeight="1" x14ac:dyDescent="0.35">
      <c r="A110" s="18" t="s">
        <v>564</v>
      </c>
      <c r="B110" s="18" t="s">
        <v>565</v>
      </c>
      <c r="C110" s="18" t="s">
        <v>566</v>
      </c>
      <c r="D110" s="18" t="s">
        <v>567</v>
      </c>
    </row>
    <row r="111" spans="1:4" ht="15" customHeight="1" x14ac:dyDescent="0.35">
      <c r="A111" s="18" t="s">
        <v>568</v>
      </c>
      <c r="B111" s="18" t="s">
        <v>569</v>
      </c>
      <c r="C111" s="18" t="s">
        <v>570</v>
      </c>
      <c r="D111" s="18" t="s">
        <v>571</v>
      </c>
    </row>
    <row r="112" spans="1:4" x14ac:dyDescent="0.35">
      <c r="A112" s="18" t="s">
        <v>572</v>
      </c>
      <c r="B112" s="18" t="s">
        <v>573</v>
      </c>
      <c r="C112" s="18" t="s">
        <v>574</v>
      </c>
      <c r="D112" s="18" t="s">
        <v>575</v>
      </c>
    </row>
    <row r="113" spans="1:4" x14ac:dyDescent="0.35">
      <c r="A113" s="18" t="s">
        <v>576</v>
      </c>
      <c r="B113" s="18" t="s">
        <v>577</v>
      </c>
      <c r="C113" s="18" t="s">
        <v>578</v>
      </c>
      <c r="D113" s="18" t="s">
        <v>579</v>
      </c>
    </row>
    <row r="114" spans="1:4" ht="17" x14ac:dyDescent="0.4">
      <c r="A114" s="27"/>
      <c r="B114" s="28"/>
      <c r="C114" s="28"/>
      <c r="D114" s="28"/>
    </row>
    <row r="115" spans="1:4" ht="17" customHeight="1" x14ac:dyDescent="0.4">
      <c r="A115" s="66" t="s">
        <v>580</v>
      </c>
      <c r="B115" s="66"/>
      <c r="C115" s="28"/>
      <c r="D115" s="28"/>
    </row>
    <row r="116" spans="1:4" s="95" customFormat="1" x14ac:dyDescent="0.35">
      <c r="A116" s="94"/>
      <c r="B116" s="94"/>
      <c r="C116" s="94"/>
      <c r="D116" s="94"/>
    </row>
    <row r="117" spans="1:4" ht="29" x14ac:dyDescent="0.35">
      <c r="A117" s="20" t="s">
        <v>138</v>
      </c>
      <c r="B117" s="20" t="s">
        <v>581</v>
      </c>
      <c r="C117" s="18"/>
      <c r="D117" s="18"/>
    </row>
    <row r="118" spans="1:4" x14ac:dyDescent="0.35">
      <c r="A118" s="18"/>
      <c r="B118" s="18"/>
      <c r="C118" s="18"/>
      <c r="D118" s="18"/>
    </row>
    <row r="119" spans="1:4" x14ac:dyDescent="0.35">
      <c r="A119" s="29" t="s">
        <v>582</v>
      </c>
      <c r="B119" s="29" t="s">
        <v>583</v>
      </c>
      <c r="C119" s="29" t="s">
        <v>584</v>
      </c>
      <c r="D119" s="29"/>
    </row>
    <row r="120" spans="1:4" x14ac:dyDescent="0.35">
      <c r="A120" s="18" t="s">
        <v>585</v>
      </c>
      <c r="B120" s="18" t="s">
        <v>586</v>
      </c>
      <c r="C120" s="18" t="s">
        <v>587</v>
      </c>
      <c r="D120" s="18"/>
    </row>
    <row r="121" spans="1:4" x14ac:dyDescent="0.35">
      <c r="A121" s="18" t="s">
        <v>588</v>
      </c>
      <c r="B121" s="18" t="s">
        <v>589</v>
      </c>
      <c r="C121" s="18" t="s">
        <v>590</v>
      </c>
      <c r="D121" s="18"/>
    </row>
    <row r="122" spans="1:4" x14ac:dyDescent="0.35">
      <c r="A122" s="18" t="s">
        <v>591</v>
      </c>
      <c r="B122" s="18" t="s">
        <v>592</v>
      </c>
      <c r="C122" s="18" t="s">
        <v>593</v>
      </c>
      <c r="D122" s="18"/>
    </row>
    <row r="123" spans="1:4" x14ac:dyDescent="0.35">
      <c r="A123" s="18" t="s">
        <v>594</v>
      </c>
      <c r="B123" s="18" t="s">
        <v>595</v>
      </c>
      <c r="C123" s="18" t="s">
        <v>596</v>
      </c>
      <c r="D123" s="18"/>
    </row>
    <row r="124" spans="1:4" x14ac:dyDescent="0.35">
      <c r="A124" s="18" t="s">
        <v>597</v>
      </c>
      <c r="B124" s="18" t="s">
        <v>598</v>
      </c>
      <c r="C124" s="18" t="s">
        <v>599</v>
      </c>
      <c r="D124" s="18"/>
    </row>
    <row r="125" spans="1:4" x14ac:dyDescent="0.35">
      <c r="A125" s="18" t="s">
        <v>600</v>
      </c>
      <c r="B125" s="18" t="s">
        <v>601</v>
      </c>
      <c r="C125" s="18" t="s">
        <v>602</v>
      </c>
      <c r="D125" s="18"/>
    </row>
    <row r="126" spans="1:4" x14ac:dyDescent="0.35">
      <c r="A126" s="18" t="s">
        <v>603</v>
      </c>
      <c r="B126" s="18" t="s">
        <v>604</v>
      </c>
      <c r="C126" s="18" t="s">
        <v>605</v>
      </c>
      <c r="D126" s="18"/>
    </row>
    <row r="127" spans="1:4" x14ac:dyDescent="0.35">
      <c r="A127" s="18" t="s">
        <v>606</v>
      </c>
      <c r="B127" s="18" t="s">
        <v>607</v>
      </c>
      <c r="C127" s="18" t="s">
        <v>608</v>
      </c>
      <c r="D127" s="18"/>
    </row>
    <row r="128" spans="1:4" x14ac:dyDescent="0.35">
      <c r="A128" s="18" t="s">
        <v>609</v>
      </c>
      <c r="B128" s="18" t="s">
        <v>610</v>
      </c>
      <c r="C128" s="18" t="s">
        <v>611</v>
      </c>
      <c r="D128" s="18"/>
    </row>
    <row r="129" spans="1:4" x14ac:dyDescent="0.35">
      <c r="A129" s="18"/>
      <c r="B129" s="18"/>
      <c r="C129" s="18"/>
      <c r="D129" s="18"/>
    </row>
    <row r="130" spans="1:4" ht="29" x14ac:dyDescent="0.35">
      <c r="A130" s="89" t="s">
        <v>612</v>
      </c>
      <c r="B130" s="89" t="s">
        <v>613</v>
      </c>
      <c r="C130" s="18"/>
      <c r="D130" s="18"/>
    </row>
    <row r="131" spans="1:4" ht="17" x14ac:dyDescent="0.4">
      <c r="A131" s="27" t="s">
        <v>614</v>
      </c>
      <c r="B131" s="28"/>
      <c r="C131" s="28"/>
      <c r="D131" s="28"/>
    </row>
    <row r="132" spans="1:4" x14ac:dyDescent="0.35">
      <c r="A132" s="18"/>
      <c r="B132" s="18"/>
      <c r="C132" s="18"/>
      <c r="D132" s="18"/>
    </row>
    <row r="133" spans="1:4" x14ac:dyDescent="0.35">
      <c r="A133" s="96" t="s">
        <v>615</v>
      </c>
      <c r="B133" s="96"/>
      <c r="C133" s="18"/>
      <c r="D133" s="18"/>
    </row>
    <row r="134" spans="1:4" x14ac:dyDescent="0.35">
      <c r="A134" s="97" t="s">
        <v>616</v>
      </c>
      <c r="B134" s="96"/>
      <c r="C134" s="18"/>
      <c r="D134" s="18"/>
    </row>
    <row r="135" spans="1:4" x14ac:dyDescent="0.35">
      <c r="A135" s="97" t="s">
        <v>617</v>
      </c>
      <c r="B135" s="96"/>
      <c r="C135" s="18"/>
      <c r="D135" s="18"/>
    </row>
    <row r="136" spans="1:4" x14ac:dyDescent="0.35">
      <c r="A136" s="97" t="s">
        <v>618</v>
      </c>
      <c r="B136" s="96"/>
      <c r="C136" s="18"/>
      <c r="D136" s="18"/>
    </row>
    <row r="137" spans="1:4" x14ac:dyDescent="0.35">
      <c r="A137" s="97" t="s">
        <v>619</v>
      </c>
      <c r="B137" s="96"/>
      <c r="C137" s="18"/>
      <c r="D137" s="18"/>
    </row>
    <row r="138" spans="1:4" x14ac:dyDescent="0.35">
      <c r="A138" s="97" t="s">
        <v>620</v>
      </c>
      <c r="B138" s="96"/>
      <c r="C138" s="18"/>
      <c r="D138" s="18"/>
    </row>
    <row r="139" spans="1:4" x14ac:dyDescent="0.35">
      <c r="A139" s="97" t="s">
        <v>621</v>
      </c>
      <c r="B139" s="96"/>
      <c r="C139" s="18"/>
      <c r="D139" s="18"/>
    </row>
    <row r="140" spans="1:4" x14ac:dyDescent="0.35">
      <c r="A140" s="18"/>
      <c r="B140" s="18"/>
      <c r="C140" s="18"/>
      <c r="D140" s="18"/>
    </row>
    <row r="141" spans="1:4" x14ac:dyDescent="0.35">
      <c r="A141" s="98" t="s">
        <v>622</v>
      </c>
      <c r="B141" s="98"/>
      <c r="C141" s="18"/>
      <c r="D141" s="18"/>
    </row>
    <row r="142" spans="1:4" x14ac:dyDescent="0.35">
      <c r="A142" s="98" t="s">
        <v>623</v>
      </c>
      <c r="B142" s="98"/>
      <c r="C142" s="18"/>
      <c r="D142" s="18"/>
    </row>
    <row r="143" spans="1:4" x14ac:dyDescent="0.35">
      <c r="A143" s="98" t="s">
        <v>624</v>
      </c>
      <c r="B143" s="98"/>
      <c r="C143" s="18"/>
      <c r="D143" s="18"/>
    </row>
    <row r="144" spans="1:4" x14ac:dyDescent="0.35">
      <c r="A144" s="98" t="s">
        <v>625</v>
      </c>
      <c r="B144" s="98"/>
      <c r="C144" s="18"/>
      <c r="D144" s="18"/>
    </row>
    <row r="145" spans="1:4" x14ac:dyDescent="0.35">
      <c r="A145" s="98" t="s">
        <v>626</v>
      </c>
      <c r="B145" s="98"/>
      <c r="C145" s="18"/>
      <c r="D145" s="18"/>
    </row>
    <row r="146" spans="1:4" x14ac:dyDescent="0.35">
      <c r="A146" s="98" t="s">
        <v>627</v>
      </c>
      <c r="B146" s="98"/>
      <c r="C146" s="18"/>
      <c r="D146" s="18"/>
    </row>
    <row r="147" spans="1:4" x14ac:dyDescent="0.35">
      <c r="A147" s="18"/>
      <c r="B147" s="18"/>
      <c r="C147" s="18"/>
      <c r="D147" s="18"/>
    </row>
    <row r="148" spans="1:4" x14ac:dyDescent="0.35">
      <c r="A148" s="90" t="s">
        <v>628</v>
      </c>
      <c r="B148" s="18"/>
      <c r="C148" s="18"/>
      <c r="D148" s="18"/>
    </row>
  </sheetData>
  <mergeCells count="9">
    <mergeCell ref="A115:B115"/>
    <mergeCell ref="A58:B58"/>
    <mergeCell ref="A90:B90"/>
    <mergeCell ref="C90:D90"/>
    <mergeCell ref="A1:D1"/>
    <mergeCell ref="A2:D2"/>
    <mergeCell ref="A4:C4"/>
    <mergeCell ref="A14:C14"/>
    <mergeCell ref="A33:C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A70C-B8C9-4B82-B605-ED22739DDCB2}">
  <dimension ref="A1:I58"/>
  <sheetViews>
    <sheetView showGridLines="0" tabSelected="1" zoomScale="80" zoomScaleNormal="80" workbookViewId="0">
      <selection activeCell="F5" sqref="F5"/>
    </sheetView>
  </sheetViews>
  <sheetFormatPr defaultRowHeight="14.5" x14ac:dyDescent="0.35"/>
  <cols>
    <col min="1" max="1" width="39" customWidth="1"/>
    <col min="2" max="2" width="21.81640625" customWidth="1"/>
    <col min="3" max="3" width="16.36328125" customWidth="1"/>
    <col min="4" max="4" width="11.81640625" customWidth="1"/>
    <col min="5" max="5" width="13.6328125" customWidth="1"/>
    <col min="6" max="6" width="50.90625" customWidth="1"/>
    <col min="7" max="7" width="19.90625" customWidth="1"/>
    <col min="8" max="8" width="14.54296875" customWidth="1"/>
    <col min="9" max="9" width="18.1796875" customWidth="1"/>
  </cols>
  <sheetData>
    <row r="1" spans="1:9" ht="40" customHeight="1" x14ac:dyDescent="0.5">
      <c r="A1" s="62" t="s">
        <v>206</v>
      </c>
      <c r="B1" s="62"/>
      <c r="C1" s="62"/>
      <c r="D1" s="62"/>
      <c r="E1" s="62"/>
      <c r="F1" s="62"/>
      <c r="G1" s="62"/>
      <c r="H1" s="62"/>
      <c r="I1" s="62"/>
    </row>
    <row r="2" spans="1:9" x14ac:dyDescent="0.35">
      <c r="A2" s="54" t="s">
        <v>633</v>
      </c>
      <c r="B2" s="55"/>
      <c r="C2" s="55"/>
      <c r="D2" s="55"/>
      <c r="E2" s="55"/>
      <c r="F2" s="55"/>
      <c r="G2" s="55"/>
      <c r="H2" s="55"/>
      <c r="I2" s="55"/>
    </row>
    <row r="3" spans="1:9" x14ac:dyDescent="0.35">
      <c r="A3" s="61" t="s">
        <v>207</v>
      </c>
      <c r="B3" s="61"/>
      <c r="C3" s="61"/>
      <c r="D3" s="61"/>
      <c r="E3" s="35"/>
      <c r="F3" s="35"/>
      <c r="G3" s="61" t="s">
        <v>216</v>
      </c>
      <c r="H3" s="61"/>
      <c r="I3" s="61"/>
    </row>
    <row r="4" spans="1:9" x14ac:dyDescent="0.35">
      <c r="A4" s="101" t="s">
        <v>800</v>
      </c>
      <c r="B4" s="37" t="str">
        <f>Calculations!B51</f>
        <v>PEPFAR Nigeria</v>
      </c>
      <c r="C4" s="38" t="s">
        <v>208</v>
      </c>
      <c r="E4" s="112" t="s">
        <v>641</v>
      </c>
      <c r="F4" s="56"/>
      <c r="G4" s="56"/>
      <c r="H4" s="56"/>
      <c r="I4" s="49" t="s">
        <v>215</v>
      </c>
    </row>
    <row r="5" spans="1:9" ht="26.5" x14ac:dyDescent="0.35">
      <c r="A5" s="38" t="s">
        <v>211</v>
      </c>
      <c r="B5" s="37" t="s">
        <v>629</v>
      </c>
      <c r="C5" s="38" t="s">
        <v>209</v>
      </c>
      <c r="E5" s="108" t="s">
        <v>642</v>
      </c>
      <c r="F5" s="113" t="s">
        <v>643</v>
      </c>
      <c r="G5" s="34" t="s">
        <v>167</v>
      </c>
      <c r="H5" s="34">
        <f>C18</f>
        <v>3</v>
      </c>
      <c r="I5" s="58" t="str">
        <f t="shared" ref="I5:I13" si="0">IF(H5&gt;=4,"Strong",IF(H5&gt;=3,"Moderate",IF(H5&gt;=2,"Partial","Emerging")))</f>
        <v>Moderate</v>
      </c>
    </row>
    <row r="6" spans="1:9" x14ac:dyDescent="0.35">
      <c r="A6" s="38" t="s">
        <v>634</v>
      </c>
      <c r="B6" s="40">
        <v>46190</v>
      </c>
      <c r="C6" s="38" t="s">
        <v>210</v>
      </c>
      <c r="E6" s="109"/>
      <c r="F6" s="113" t="s">
        <v>644</v>
      </c>
      <c r="G6" s="34" t="s">
        <v>169</v>
      </c>
      <c r="H6" s="34">
        <f t="shared" ref="H6:H13" si="1">C19</f>
        <v>4</v>
      </c>
      <c r="I6" s="59" t="str">
        <f t="shared" si="0"/>
        <v>Strong</v>
      </c>
    </row>
    <row r="7" spans="1:9" ht="26.5" x14ac:dyDescent="0.35">
      <c r="A7" s="38" t="s">
        <v>635</v>
      </c>
      <c r="B7" s="41" t="s">
        <v>636</v>
      </c>
      <c r="C7" s="38" t="s">
        <v>211</v>
      </c>
      <c r="E7" s="109"/>
      <c r="F7" s="113" t="s">
        <v>645</v>
      </c>
      <c r="G7" s="34" t="s">
        <v>171</v>
      </c>
      <c r="H7" s="34">
        <f t="shared" si="1"/>
        <v>2</v>
      </c>
      <c r="I7" s="59" t="str">
        <f t="shared" si="0"/>
        <v>Partial</v>
      </c>
    </row>
    <row r="8" spans="1:9" x14ac:dyDescent="0.35">
      <c r="A8" s="38" t="s">
        <v>637</v>
      </c>
      <c r="B8" s="37" t="s">
        <v>638</v>
      </c>
      <c r="C8" s="38"/>
      <c r="E8" s="109"/>
      <c r="F8" s="113" t="s">
        <v>646</v>
      </c>
      <c r="G8" s="34" t="s">
        <v>173</v>
      </c>
      <c r="H8" s="34">
        <f t="shared" si="1"/>
        <v>2</v>
      </c>
      <c r="I8" s="60" t="str">
        <f t="shared" si="0"/>
        <v>Partial</v>
      </c>
    </row>
    <row r="9" spans="1:9" x14ac:dyDescent="0.35">
      <c r="A9" s="38" t="s">
        <v>639</v>
      </c>
      <c r="B9" s="37" t="s">
        <v>640</v>
      </c>
      <c r="C9" s="38" t="s">
        <v>212</v>
      </c>
      <c r="E9" s="102" t="s">
        <v>647</v>
      </c>
      <c r="F9" s="114" t="s">
        <v>648</v>
      </c>
      <c r="G9" s="34" t="s">
        <v>175</v>
      </c>
      <c r="H9" s="34">
        <f t="shared" si="1"/>
        <v>1</v>
      </c>
      <c r="I9" s="59" t="str">
        <f t="shared" si="0"/>
        <v>Emerging</v>
      </c>
    </row>
    <row r="10" spans="1:9" x14ac:dyDescent="0.35">
      <c r="A10" s="38" t="s">
        <v>213</v>
      </c>
      <c r="B10" s="37" t="str">
        <f>IF(Calculations!B27=9,"Complete",IF(Calculations!B27&gt;0,"Partial","Not Started"))</f>
        <v>Complete</v>
      </c>
      <c r="C10" s="38"/>
      <c r="D10" s="42"/>
      <c r="E10" s="104"/>
      <c r="F10" s="114" t="s">
        <v>649</v>
      </c>
      <c r="G10" s="34" t="s">
        <v>177</v>
      </c>
      <c r="H10" s="34">
        <f t="shared" si="1"/>
        <v>2</v>
      </c>
      <c r="I10" s="58" t="str">
        <f t="shared" si="0"/>
        <v>Partial</v>
      </c>
    </row>
    <row r="11" spans="1:9" x14ac:dyDescent="0.35">
      <c r="A11" s="35" t="s">
        <v>214</v>
      </c>
      <c r="B11" s="35"/>
      <c r="C11" s="35"/>
      <c r="D11" s="35"/>
      <c r="E11" s="103"/>
      <c r="F11" s="114" t="s">
        <v>650</v>
      </c>
      <c r="G11" s="34" t="s">
        <v>179</v>
      </c>
      <c r="H11" s="34">
        <f t="shared" si="1"/>
        <v>2</v>
      </c>
      <c r="I11" s="60" t="str">
        <f t="shared" si="0"/>
        <v>Partial</v>
      </c>
    </row>
    <row r="12" spans="1:9" x14ac:dyDescent="0.35">
      <c r="A12" s="39" t="s">
        <v>143</v>
      </c>
      <c r="B12" s="39" t="s">
        <v>185</v>
      </c>
      <c r="C12" s="39" t="s">
        <v>215</v>
      </c>
      <c r="D12" s="39" t="s">
        <v>652</v>
      </c>
      <c r="E12" s="105"/>
      <c r="F12" s="114" t="s">
        <v>651</v>
      </c>
      <c r="G12" s="34" t="s">
        <v>181</v>
      </c>
      <c r="H12" s="34">
        <f t="shared" si="1"/>
        <v>2</v>
      </c>
      <c r="I12" s="58" t="str">
        <f t="shared" si="0"/>
        <v>Partial</v>
      </c>
    </row>
    <row r="13" spans="1:9" x14ac:dyDescent="0.35">
      <c r="A13" s="34" t="s">
        <v>147</v>
      </c>
      <c r="B13" s="79">
        <f>Calculations!B19</f>
        <v>1</v>
      </c>
      <c r="C13" s="34" t="str">
        <f>Calculations!C19</f>
        <v>Emerging</v>
      </c>
      <c r="D13" s="43" t="str">
        <f>IF(Calculations!D19&gt;=2.5,"High",IF(Calculations!D19&gt;=1.5,"Medium","Low"))</f>
        <v>Medium</v>
      </c>
      <c r="E13" s="106"/>
      <c r="F13" s="114" t="s">
        <v>653</v>
      </c>
      <c r="G13" s="34" t="s">
        <v>183</v>
      </c>
      <c r="H13" s="34">
        <f t="shared" si="1"/>
        <v>4</v>
      </c>
      <c r="I13" s="59" t="str">
        <f t="shared" si="0"/>
        <v>Strong</v>
      </c>
    </row>
    <row r="14" spans="1:9" ht="26.5" x14ac:dyDescent="0.35">
      <c r="A14" s="34" t="s">
        <v>151</v>
      </c>
      <c r="B14" s="79">
        <f>Calculations!B20</f>
        <v>1.6666666666666667</v>
      </c>
      <c r="C14" s="34" t="str">
        <f>Calculations!C20</f>
        <v>Emerging</v>
      </c>
      <c r="D14" s="43" t="str">
        <f>IF(Calculations!D20&gt;=2.5,"High",IF(Calculations!D20&gt;=1.5,"Medium","Low"))</f>
        <v>High</v>
      </c>
      <c r="E14" s="107"/>
      <c r="F14" s="114" t="s">
        <v>654</v>
      </c>
      <c r="G14" s="35" t="s">
        <v>220</v>
      </c>
      <c r="H14" s="35"/>
      <c r="I14" s="35"/>
    </row>
    <row r="15" spans="1:9" x14ac:dyDescent="0.35">
      <c r="A15" s="34" t="s">
        <v>155</v>
      </c>
      <c r="B15" s="79">
        <f>Calculations!B21</f>
        <v>2.6666666666666665</v>
      </c>
      <c r="C15" s="34" t="str">
        <f>Calculations!C21</f>
        <v>Partial</v>
      </c>
      <c r="D15" s="43" t="str">
        <f>IF(Calculations!D21&gt;=2.5,"High",IF(Calculations!D21&gt;=1.5,"Medium","Low"))</f>
        <v>Medium</v>
      </c>
      <c r="E15" s="107"/>
      <c r="F15" s="114" t="s">
        <v>655</v>
      </c>
      <c r="G15" s="44" t="s">
        <v>221</v>
      </c>
      <c r="H15" s="44" t="s">
        <v>162</v>
      </c>
      <c r="I15" s="44" t="s">
        <v>222</v>
      </c>
    </row>
    <row r="16" spans="1:9" x14ac:dyDescent="0.35">
      <c r="A16" s="61" t="s">
        <v>656</v>
      </c>
      <c r="B16" s="61"/>
      <c r="C16" s="61"/>
      <c r="D16" s="61"/>
      <c r="E16" s="61"/>
      <c r="F16" s="61"/>
      <c r="G16" s="34" t="s">
        <v>223</v>
      </c>
      <c r="H16" s="34" t="str">
        <f>INDEX(Calculations!A6:A14,MATCH(MAX(Calculations!D6:D14),Calculations!D6:D14,0))</f>
        <v>D9: Transformative Impact</v>
      </c>
      <c r="I16" s="34" t="str">
        <f>CONCATENATE("Rating: ",MAX(Calculations!D6:D14))</f>
        <v>Rating: 4</v>
      </c>
    </row>
    <row r="17" spans="1:9" x14ac:dyDescent="0.35">
      <c r="A17" s="99" t="s">
        <v>143</v>
      </c>
      <c r="B17" s="99"/>
      <c r="C17" s="99"/>
      <c r="D17" s="99"/>
      <c r="E17" s="36" t="s">
        <v>230</v>
      </c>
      <c r="G17" s="34" t="s">
        <v>224</v>
      </c>
      <c r="H17" s="34" t="str">
        <f>INDEX(Calculations!A6:A14,MATCH(MIN(Calculations!D6:D14),Calculations!D6:D14,0))</f>
        <v>D2: Common Good Orientation</v>
      </c>
      <c r="I17" s="34" t="str">
        <f>CONCATENATE("Rating: ",MIN(Calculations!D6:D14))</f>
        <v>Rating: 0</v>
      </c>
    </row>
    <row r="18" spans="1:9" x14ac:dyDescent="0.35">
      <c r="A18" s="110" t="s">
        <v>148</v>
      </c>
      <c r="B18" s="34" t="s">
        <v>166</v>
      </c>
      <c r="C18" s="111">
        <f>Input_Domains!B6</f>
        <v>3</v>
      </c>
      <c r="D18" s="45" t="str">
        <f t="shared" ref="D18:D24" si="2">IF(C18&gt;=4,"Strong",IF(C18&gt;=3,"Moderate",IF(C18&gt;=2,"Partial","Emerging")))</f>
        <v>Moderate</v>
      </c>
      <c r="E18" s="45" t="str">
        <f>REPT("●",C18)&amp;REPT("○",5-C18)</f>
        <v>●●●○○</v>
      </c>
      <c r="G18" s="34" t="s">
        <v>225</v>
      </c>
      <c r="H18" s="34">
        <f>MAX(Calculations!D6:D14)-MIN(Calculations!D6:D14)</f>
        <v>4</v>
      </c>
      <c r="I18" s="34" t="str">
        <f>IF(H18&gt;2,"Large variation across domains",IF(H18&gt;1,"Moderate variation","Consistent ratings"))</f>
        <v>Large variation across domains</v>
      </c>
    </row>
    <row r="19" spans="1:9" x14ac:dyDescent="0.35">
      <c r="A19" s="46" t="s">
        <v>148</v>
      </c>
      <c r="B19" s="34" t="s">
        <v>217</v>
      </c>
      <c r="C19" s="47">
        <f>Input_Domains!B22</f>
        <v>4</v>
      </c>
      <c r="D19" s="47" t="str">
        <f t="shared" si="2"/>
        <v>Strong</v>
      </c>
      <c r="E19" s="47" t="str">
        <f>REPT("●",C19)&amp;REPT("○",5-C19)</f>
        <v>●●●●○</v>
      </c>
      <c r="G19" s="61" t="s">
        <v>226</v>
      </c>
      <c r="H19" s="61"/>
      <c r="I19" s="61"/>
    </row>
    <row r="20" spans="1:9" x14ac:dyDescent="0.35">
      <c r="A20" s="46" t="s">
        <v>148</v>
      </c>
      <c r="B20" s="34" t="s">
        <v>170</v>
      </c>
      <c r="C20" s="47">
        <f>Input_Domains!B38</f>
        <v>2</v>
      </c>
      <c r="D20" s="47" t="str">
        <f t="shared" si="2"/>
        <v>Partial</v>
      </c>
      <c r="E20" s="47" t="str">
        <f>REPT("●",C20)&amp;REPT("○",5-C20)</f>
        <v>●●○○○</v>
      </c>
      <c r="G20" s="67" t="str">
        <f>IF(Calculations!B27=0,"Assessment not yet started. Please complete the input sheets.",CONCATENATE("This ",Calculations!B55," program in ",Calculations!B53," demonstrates ",Calculations!C19," orientation (WHAT), ",Calculations!C20," process (HOW), and ",Calculations!C21," outcomes focus (TO WHAT END)."))</f>
        <v>This 0 program in Nigeria demonstrates Emerging orientation (WHAT), Emerging process (HOW), and Partial outcomes focus (TO WHAT END).</v>
      </c>
      <c r="H20" s="68"/>
      <c r="I20" s="68"/>
    </row>
    <row r="21" spans="1:9" x14ac:dyDescent="0.35">
      <c r="A21" s="48" t="s">
        <v>152</v>
      </c>
      <c r="B21" s="34" t="s">
        <v>172</v>
      </c>
      <c r="C21" s="47">
        <f>Input_Domains!B54</f>
        <v>2</v>
      </c>
      <c r="D21" s="47" t="str">
        <f t="shared" si="2"/>
        <v>Partial</v>
      </c>
      <c r="E21" s="47" t="str">
        <f>REPT("●",C21)&amp;REPT("○",5-C21)</f>
        <v>●●○○○</v>
      </c>
      <c r="G21" s="67" t="str">
        <f>IF(Calculations!B27=0,"",CONCATENATE("Strongest in: ",INDEX(Calculations!A6:A14,MATCH(MAX(Calculations!D6:D14),Calculations!D6:D14,0)),". Area for development: ",INDEX(Calculations!A6:A14,MATCH(MIN(Calculations!D6:D14),Calculations!D6:D14,0)),"."))</f>
        <v>Strongest in: D9: Transformative Impact. Area for development: D2: Common Good Orientation.</v>
      </c>
      <c r="H21" s="68"/>
      <c r="I21" s="68"/>
    </row>
    <row r="22" spans="1:9" x14ac:dyDescent="0.35">
      <c r="A22" s="48" t="s">
        <v>152</v>
      </c>
      <c r="B22" s="34" t="s">
        <v>174</v>
      </c>
      <c r="C22" s="47">
        <f>Input_Domains!B72</f>
        <v>1</v>
      </c>
      <c r="D22" s="47" t="str">
        <f t="shared" si="2"/>
        <v>Emerging</v>
      </c>
      <c r="E22" s="47" t="str">
        <f>REPT("●",C22)&amp;REPT("○",5-C22)</f>
        <v>●○○○○</v>
      </c>
      <c r="G22" s="35" t="s">
        <v>228</v>
      </c>
      <c r="H22" s="35"/>
      <c r="I22" s="35"/>
    </row>
    <row r="23" spans="1:9" x14ac:dyDescent="0.35">
      <c r="A23" s="48" t="s">
        <v>152</v>
      </c>
      <c r="B23" s="34" t="s">
        <v>218</v>
      </c>
      <c r="C23" s="47">
        <f>Input_Domains!B88</f>
        <v>2</v>
      </c>
      <c r="D23" s="47" t="str">
        <f t="shared" si="2"/>
        <v>Partial</v>
      </c>
      <c r="E23" s="47" t="str">
        <f>REPT("●",C23)&amp;REPT("○",5-C23)</f>
        <v>●●○○○</v>
      </c>
      <c r="G23" s="49" t="s">
        <v>162</v>
      </c>
      <c r="H23" s="49" t="s">
        <v>229</v>
      </c>
      <c r="I23" s="49" t="s">
        <v>230</v>
      </c>
    </row>
    <row r="24" spans="1:9" x14ac:dyDescent="0.35">
      <c r="A24" s="115" t="s">
        <v>657</v>
      </c>
      <c r="B24" s="34" t="s">
        <v>219</v>
      </c>
      <c r="C24" s="47">
        <f>Input_Domains!B104</f>
        <v>2</v>
      </c>
      <c r="D24" s="47" t="str">
        <f t="shared" si="2"/>
        <v>Partial</v>
      </c>
      <c r="E24" s="47" t="str">
        <f>REPT("●",C24)&amp;REPT("○",5-C24)</f>
        <v>●●○○○</v>
      </c>
      <c r="G24" s="34" t="str">
        <f>B18</f>
        <v>D1: Equity &amp; Justice</v>
      </c>
      <c r="H24" s="34">
        <f>H5</f>
        <v>3</v>
      </c>
      <c r="I24" s="34" t="str">
        <f t="shared" ref="I24:I32" si="3">REPT("█",IF(ISNUMBER(H24),H24,0))&amp;REPT("░",5-IF(ISNUMBER(H24),H24,0))</f>
        <v>███░░</v>
      </c>
    </row>
    <row r="25" spans="1:9" x14ac:dyDescent="0.35">
      <c r="A25" s="115" t="s">
        <v>657</v>
      </c>
      <c r="B25" s="34" t="s">
        <v>180</v>
      </c>
      <c r="C25" s="47">
        <f>Input_Domains!B120</f>
        <v>2</v>
      </c>
      <c r="D25" s="47" t="str">
        <f>IF(C25&gt;=4,"Strong",IF(C25&gt;=3,"Moderate",IF(C25&gt;=2,"Partial","Emerging")))</f>
        <v>Partial</v>
      </c>
      <c r="E25" s="47" t="str">
        <f>REPT("●",C25)&amp;REPT("○",5-C25)</f>
        <v>●●○○○</v>
      </c>
      <c r="G25" s="34" t="str">
        <f t="shared" ref="G25:G32" si="4">B19</f>
        <v>D2: Common Good</v>
      </c>
      <c r="H25" s="34">
        <f t="shared" ref="H25:H32" si="5">H6</f>
        <v>4</v>
      </c>
      <c r="I25" s="34" t="str">
        <f t="shared" si="3"/>
        <v>████░</v>
      </c>
    </row>
    <row r="26" spans="1:9" x14ac:dyDescent="0.35">
      <c r="A26" s="115" t="s">
        <v>657</v>
      </c>
      <c r="B26" s="34" t="s">
        <v>182</v>
      </c>
      <c r="C26" s="47">
        <f>Input_Domains!B136</f>
        <v>4</v>
      </c>
      <c r="D26" s="47" t="str">
        <f>IF(C26&gt;=4,"Strong",IF(C26&gt;=3,"Moderate",IF(C26&gt;=2,"Partial","Emerging")))</f>
        <v>Strong</v>
      </c>
      <c r="E26" s="47" t="str">
        <f>REPT("●",C26)&amp;REPT("○",5-C26)</f>
        <v>●●●●○</v>
      </c>
      <c r="G26" s="34" t="str">
        <f t="shared" si="4"/>
        <v>D3: Mutual Responsibility</v>
      </c>
      <c r="H26" s="34">
        <f t="shared" si="5"/>
        <v>2</v>
      </c>
      <c r="I26" s="34" t="str">
        <f t="shared" si="3"/>
        <v>██░░░</v>
      </c>
    </row>
    <row r="27" spans="1:9" x14ac:dyDescent="0.35">
      <c r="A27" s="116" t="s">
        <v>122</v>
      </c>
      <c r="B27" s="116" t="str">
        <f>IF(Calculations!B44&lt;&gt;"","✓ Selected","")</f>
        <v>✓ Selected</v>
      </c>
      <c r="C27" s="116"/>
      <c r="D27" s="116"/>
      <c r="E27" s="34"/>
      <c r="G27" s="34" t="str">
        <f t="shared" si="4"/>
        <v>D4: Power Transformation</v>
      </c>
      <c r="H27" s="34">
        <f t="shared" si="5"/>
        <v>2</v>
      </c>
      <c r="I27" s="34" t="str">
        <f t="shared" si="3"/>
        <v>██░░░</v>
      </c>
    </row>
    <row r="28" spans="1:9" x14ac:dyDescent="0.35">
      <c r="F28" s="34"/>
      <c r="G28" s="34" t="str">
        <f t="shared" si="4"/>
        <v>D5: Inclusive Participation</v>
      </c>
      <c r="H28" s="34">
        <f t="shared" si="5"/>
        <v>1</v>
      </c>
      <c r="I28" s="34" t="str">
        <f t="shared" si="3"/>
        <v>█░░░░</v>
      </c>
    </row>
    <row r="29" spans="1:9" x14ac:dyDescent="0.35">
      <c r="A29" s="69" t="s">
        <v>658</v>
      </c>
      <c r="B29" s="69"/>
      <c r="C29" s="69"/>
      <c r="D29" s="69"/>
      <c r="E29" s="69"/>
      <c r="F29" s="69"/>
      <c r="G29" s="34" t="str">
        <f t="shared" si="4"/>
        <v>D6: Transparency</v>
      </c>
      <c r="H29" s="34">
        <f t="shared" si="5"/>
        <v>2</v>
      </c>
      <c r="I29" s="34" t="str">
        <f t="shared" si="3"/>
        <v>██░░░</v>
      </c>
    </row>
    <row r="30" spans="1:9" x14ac:dyDescent="0.35">
      <c r="A30" s="100" t="s">
        <v>659</v>
      </c>
      <c r="B30" s="117">
        <f>AVERAGE(C18:C20)</f>
        <v>3</v>
      </c>
      <c r="C30" s="100" t="str">
        <f>IF(B30&gt;=4,"Strong",IF(B30&gt;=3,"Moderate",IF(B30&gt;=2,"Partial","Emerging")))</f>
        <v>Moderate</v>
      </c>
      <c r="D30" s="100" t="str">
        <f>REPT("█",ROUND(B30,0))&amp;REPT("░",5-ROUND(B30,0))</f>
        <v>███░░</v>
      </c>
      <c r="E30" s="34"/>
      <c r="F30" s="34"/>
      <c r="G30" s="34" t="str">
        <f t="shared" si="4"/>
        <v>D7: Sustainability</v>
      </c>
      <c r="H30" s="34">
        <f t="shared" si="5"/>
        <v>2</v>
      </c>
      <c r="I30" s="34" t="str">
        <f t="shared" si="3"/>
        <v>██░░░</v>
      </c>
    </row>
    <row r="31" spans="1:9" x14ac:dyDescent="0.35">
      <c r="A31" s="100" t="s">
        <v>660</v>
      </c>
      <c r="B31" s="117">
        <f>AVERAGE(C21:C23)</f>
        <v>1.6666666666666667</v>
      </c>
      <c r="C31" s="100" t="str">
        <f>IF(B31&gt;=4,"Strong",IF(B31&gt;=3,"Moderate",IF(B31&gt;=2,"Partial","Emerging")))</f>
        <v>Emerging</v>
      </c>
      <c r="D31" s="100" t="str">
        <f>REPT("█",ROUND(B31,0))&amp;REPT("░",5-ROUND(B31,0))</f>
        <v>██░░░</v>
      </c>
      <c r="E31" s="34"/>
      <c r="F31" s="34"/>
      <c r="G31" s="34" t="str">
        <f t="shared" si="4"/>
        <v>D8: Relational Trust</v>
      </c>
      <c r="H31" s="34">
        <f t="shared" si="5"/>
        <v>2</v>
      </c>
      <c r="I31" s="34" t="str">
        <f t="shared" si="3"/>
        <v>██░░░</v>
      </c>
    </row>
    <row r="32" spans="1:9" x14ac:dyDescent="0.35">
      <c r="A32" s="118" t="s">
        <v>661</v>
      </c>
      <c r="B32" s="117">
        <f>AVERAGE(C24:C26)</f>
        <v>2.6666666666666665</v>
      </c>
      <c r="C32" s="118"/>
      <c r="D32" s="100" t="str">
        <f>REPT("█",ROUND(B32,0))&amp;REPT("░",5-ROUND(B32,0))</f>
        <v>███░░</v>
      </c>
      <c r="E32" s="34"/>
      <c r="F32" s="34"/>
      <c r="G32" s="34" t="str">
        <f t="shared" si="4"/>
        <v>D9: Transformative Impact</v>
      </c>
      <c r="H32" s="34">
        <f t="shared" si="5"/>
        <v>4</v>
      </c>
      <c r="I32" s="34" t="str">
        <f t="shared" si="3"/>
        <v>████░</v>
      </c>
    </row>
    <row r="33" spans="1:9" x14ac:dyDescent="0.35">
      <c r="A33" s="49" t="s">
        <v>662</v>
      </c>
      <c r="B33" s="50">
        <f>AVERAGE(B30:B32)</f>
        <v>2.4444444444444446</v>
      </c>
      <c r="C33" s="49" t="str">
        <f>IF(B33&gt;=4,"Strong",IF(B33&gt;=3,"Moderate",IF(B33&gt;=2,"Partial","Emerging")))</f>
        <v>Partial</v>
      </c>
      <c r="D33" s="49"/>
      <c r="E33" s="49"/>
      <c r="F33" s="34"/>
    </row>
    <row r="34" spans="1:9" x14ac:dyDescent="0.35">
      <c r="A34" s="116" t="s">
        <v>227</v>
      </c>
      <c r="B34" s="119" t="str">
        <f>IF(Calculations!B26&gt;=3.5,"Strong fit for solidaristic funding",IF(Calculations!B26&gt;=2.5,"Moderate fit - some areas need strengthening",IF(Calculations!B26&gt;=1.5,"Weak fit - significant redesign needed","Not suitable for solidaristic funding")))</f>
        <v>Weak fit - significant redesign needed</v>
      </c>
      <c r="C34" s="119"/>
      <c r="D34" s="119"/>
      <c r="E34" s="34"/>
      <c r="F34" s="34"/>
    </row>
    <row r="35" spans="1:9" x14ac:dyDescent="0.35">
      <c r="A35" s="70" t="s">
        <v>663</v>
      </c>
      <c r="B35" s="70"/>
      <c r="C35" s="70"/>
      <c r="D35" s="70"/>
      <c r="E35" s="70"/>
      <c r="F35" s="70"/>
    </row>
    <row r="36" spans="1:9" x14ac:dyDescent="0.35">
      <c r="A36" s="120" t="s">
        <v>132</v>
      </c>
      <c r="B36" s="34" t="str">
        <f>Input_Integrity!B33</f>
        <v>High</v>
      </c>
      <c r="C36" s="34" t="str">
        <f>IF(B36="High","⚠️ HIGH RISK",IF(B36="Med","⚡ MODERATE","✓ LOW"))</f>
        <v>⚠️ HIGH RISK</v>
      </c>
      <c r="D36" s="34"/>
      <c r="E36" s="34"/>
      <c r="F36" s="34"/>
    </row>
    <row r="37" spans="1:9" x14ac:dyDescent="0.35">
      <c r="A37" s="120" t="s">
        <v>133</v>
      </c>
      <c r="B37" s="34" t="str">
        <f>Input_Integrity!B34</f>
        <v>High</v>
      </c>
      <c r="C37" s="34" t="str">
        <f>IF(B37="High","⚠️ HIGH RISK",IF(B37="Med","⚡ MODERATE","✓ LOW"))</f>
        <v>⚠️ HIGH RISK</v>
      </c>
      <c r="D37" s="34"/>
      <c r="E37" s="34"/>
      <c r="F37" s="34"/>
      <c r="G37" s="34"/>
      <c r="H37" s="34"/>
      <c r="I37" s="34"/>
    </row>
    <row r="38" spans="1:9" x14ac:dyDescent="0.35">
      <c r="A38" s="120" t="s">
        <v>134</v>
      </c>
      <c r="B38" s="34" t="str">
        <f>Input_Integrity!B35</f>
        <v>Med</v>
      </c>
      <c r="C38" s="34" t="str">
        <f t="shared" ref="C38:C39" si="6">IF(B38="High","⚠️ HIGH RISK",IF(B38="Med","⚡ MODERATE","✓ LOW"))</f>
        <v>⚡ MODERATE</v>
      </c>
      <c r="D38" s="100"/>
      <c r="E38" s="100"/>
      <c r="F38" s="100"/>
      <c r="G38" s="100"/>
      <c r="H38" s="100"/>
      <c r="I38" s="100"/>
    </row>
    <row r="39" spans="1:9" x14ac:dyDescent="0.35">
      <c r="A39" s="120" t="s">
        <v>135</v>
      </c>
      <c r="B39" s="34" t="str">
        <f>Input_Integrity!B36</f>
        <v>Med</v>
      </c>
      <c r="C39" s="34" t="str">
        <f t="shared" si="6"/>
        <v>⚡ MODERATE</v>
      </c>
      <c r="D39" s="34"/>
      <c r="E39" s="34"/>
      <c r="F39" s="34"/>
      <c r="G39" s="34"/>
      <c r="H39" s="34"/>
      <c r="I39" s="34"/>
    </row>
    <row r="40" spans="1:9" x14ac:dyDescent="0.35">
      <c r="A40" s="38" t="s">
        <v>664</v>
      </c>
      <c r="B40" s="34" t="str">
        <f>Input_Integrity!B14</f>
        <v>No</v>
      </c>
      <c r="C40" s="34"/>
      <c r="D40" s="34"/>
      <c r="E40" s="34"/>
      <c r="F40" s="34"/>
      <c r="G40" s="34"/>
      <c r="H40" s="34"/>
      <c r="I40" s="34"/>
    </row>
    <row r="41" spans="1:9" x14ac:dyDescent="0.35">
      <c r="A41" s="61" t="s">
        <v>665</v>
      </c>
      <c r="B41" s="61"/>
      <c r="C41" s="61"/>
      <c r="D41" s="61"/>
      <c r="E41" s="61"/>
      <c r="F41" s="61"/>
      <c r="G41" s="34"/>
      <c r="H41" s="34"/>
      <c r="I41" s="34"/>
    </row>
    <row r="42" spans="1:9" x14ac:dyDescent="0.35">
      <c r="A42" s="71" t="str">
        <f>"This program demonstrates "&amp;C33&amp;" overall solidarity ("&amp;TEXT(B33,"0.0")&amp;"/5). "&amp;IF(B30&gt;B31,"The program is stronger in WHAT it addresses than HOW it operates. ",IF(B31&gt;B30,"The program shows stronger process-based solidarity (HOW) than outcome focus (WHAT). ",""))&amp;IF(C23="Partial","Power transformation remains limited - local actors have constrained decision-making authority. ","")&amp;IF(C24="Partial","Sustainability is a concern with heavy reliance on external funding. ","")&amp;"Solidarity type observed: "&amp;B40&amp;". "&amp;IF(B37="High","⚠️ CRITICAL: High dependency risk detected.","")</f>
        <v>This program demonstrates Partial overall solidarity (2.4/5). The program is stronger in WHAT it addresses than HOW it operates. Solidarity type observed: No. ⚠️ CRITICAL: High dependency risk detected.</v>
      </c>
      <c r="B42" s="72"/>
      <c r="C42" s="72"/>
      <c r="D42" s="72"/>
      <c r="E42" s="72"/>
      <c r="F42" s="73"/>
      <c r="G42" s="34"/>
      <c r="H42" s="34"/>
      <c r="I42" s="34"/>
    </row>
    <row r="43" spans="1:9" x14ac:dyDescent="0.35">
      <c r="A43" s="74"/>
      <c r="B43" s="68"/>
      <c r="C43" s="68"/>
      <c r="D43" s="68"/>
      <c r="E43" s="68"/>
      <c r="F43" s="75"/>
      <c r="G43" s="34"/>
      <c r="H43" s="34"/>
      <c r="I43" s="34"/>
    </row>
    <row r="44" spans="1:9" x14ac:dyDescent="0.35">
      <c r="A44" s="74"/>
      <c r="B44" s="68"/>
      <c r="C44" s="68"/>
      <c r="D44" s="68"/>
      <c r="E44" s="68"/>
      <c r="F44" s="75"/>
      <c r="G44" s="34"/>
      <c r="H44" s="34"/>
      <c r="I44" s="34"/>
    </row>
    <row r="45" spans="1:9" x14ac:dyDescent="0.35">
      <c r="A45" s="76"/>
      <c r="B45" s="77"/>
      <c r="C45" s="77"/>
      <c r="D45" s="77"/>
      <c r="E45" s="77"/>
      <c r="F45" s="78"/>
      <c r="G45" s="34"/>
      <c r="H45" s="34"/>
      <c r="I45" s="34"/>
    </row>
    <row r="46" spans="1:9" x14ac:dyDescent="0.35">
      <c r="A46" s="34"/>
      <c r="B46" s="34"/>
      <c r="C46" s="34"/>
      <c r="D46" s="34"/>
      <c r="E46" s="34"/>
      <c r="F46" s="34"/>
      <c r="G46" s="34"/>
      <c r="H46" s="34"/>
      <c r="I46" s="34"/>
    </row>
    <row r="47" spans="1:9" x14ac:dyDescent="0.35">
      <c r="A47" s="61" t="s">
        <v>666</v>
      </c>
      <c r="B47" s="61"/>
      <c r="C47" s="61"/>
      <c r="D47" s="61"/>
      <c r="E47" s="61"/>
      <c r="F47" s="61"/>
      <c r="G47" s="34"/>
      <c r="H47" s="34"/>
      <c r="I47" s="34"/>
    </row>
    <row r="48" spans="1:9" x14ac:dyDescent="0.35">
      <c r="A48" s="38" t="s">
        <v>667</v>
      </c>
      <c r="B48" s="51" t="str" cm="1">
        <f t="array" ref="B48">INDEX({"D1: Equity","D2: Inclusivity","D3: Justice","D4: Reciprocity","D5: Accountability","D6: Power","D7: Sustainability","D8: Systems","D9: Outcomes"},MATCH(MAX(C18:C26),C18:C26,0))</f>
        <v>D2: Inclusivity</v>
      </c>
      <c r="C48" s="34" t="str">
        <f>"(Score: "&amp;MAX(C18:C26)&amp;")"</f>
        <v>(Score: 4)</v>
      </c>
      <c r="D48" s="34"/>
      <c r="E48" s="34"/>
      <c r="F48" s="34"/>
      <c r="G48" s="34"/>
      <c r="H48" s="34"/>
      <c r="I48" s="34"/>
    </row>
    <row r="49" spans="1:9" x14ac:dyDescent="0.35">
      <c r="A49" s="38" t="s">
        <v>668</v>
      </c>
      <c r="B49" s="52" t="str" cm="1">
        <f t="array" ref="B49">INDEX({"D1: Equity","D2: Inclusivity","D3: Justice","D4: Reciprocity","D5: Accountability","D6: Power","D7: Sustainability","D8: Systems","D9: Outcomes"},MATCH(MIN(C18:C26),C18:C26,0))</f>
        <v>D5: Accountability</v>
      </c>
      <c r="C49" s="34" t="str">
        <f>"(Score: "&amp;MIN(C18:C26)&amp;")"</f>
        <v>(Score: 1)</v>
      </c>
      <c r="D49" s="34"/>
      <c r="E49" s="34"/>
      <c r="F49" s="34"/>
      <c r="G49" s="34"/>
      <c r="H49" s="34"/>
      <c r="I49" s="34"/>
    </row>
    <row r="50" spans="1:9" x14ac:dyDescent="0.35">
      <c r="A50" s="34"/>
      <c r="B50" s="34"/>
      <c r="C50" s="34"/>
      <c r="D50" s="34"/>
      <c r="E50" s="34"/>
      <c r="F50" s="34"/>
      <c r="G50" s="34"/>
      <c r="H50" s="34"/>
      <c r="I50" s="34"/>
    </row>
    <row r="51" spans="1:9" x14ac:dyDescent="0.35">
      <c r="A51" s="53" t="s">
        <v>669</v>
      </c>
      <c r="B51" s="34"/>
      <c r="C51" s="34"/>
      <c r="D51" s="34"/>
      <c r="E51" s="34"/>
      <c r="F51" s="34"/>
      <c r="G51" s="34"/>
      <c r="H51" s="34"/>
      <c r="I51" s="34"/>
    </row>
    <row r="52" spans="1:9" x14ac:dyDescent="0.35">
      <c r="A52" s="38">
        <v>1</v>
      </c>
      <c r="B52" s="34" t="s">
        <v>670</v>
      </c>
      <c r="C52" s="34"/>
      <c r="D52" s="34"/>
      <c r="E52" s="34"/>
      <c r="F52" s="34"/>
      <c r="G52" s="34"/>
      <c r="H52" s="34"/>
      <c r="I52" s="34"/>
    </row>
    <row r="53" spans="1:9" x14ac:dyDescent="0.35">
      <c r="A53" s="38">
        <v>2</v>
      </c>
      <c r="B53" s="34" t="s">
        <v>671</v>
      </c>
      <c r="C53" s="34"/>
      <c r="D53" s="34"/>
      <c r="E53" s="34"/>
      <c r="F53" s="34"/>
      <c r="G53" s="34"/>
      <c r="H53" s="34"/>
      <c r="I53" s="34"/>
    </row>
    <row r="54" spans="1:9" x14ac:dyDescent="0.35">
      <c r="A54" s="38">
        <v>3</v>
      </c>
      <c r="B54" s="34" t="s">
        <v>672</v>
      </c>
      <c r="C54" s="34"/>
      <c r="D54" s="34"/>
      <c r="E54" s="34"/>
      <c r="F54" s="34"/>
      <c r="G54" s="34"/>
      <c r="H54" s="34"/>
      <c r="I54" s="34"/>
    </row>
    <row r="55" spans="1:9" x14ac:dyDescent="0.35">
      <c r="A55" s="38">
        <v>4</v>
      </c>
      <c r="B55" s="34" t="s">
        <v>673</v>
      </c>
      <c r="C55" s="34"/>
      <c r="D55" s="34"/>
      <c r="E55" s="34"/>
      <c r="F55" s="34"/>
      <c r="G55" s="34"/>
      <c r="H55" s="34"/>
      <c r="I55" s="34"/>
    </row>
    <row r="56" spans="1:9" x14ac:dyDescent="0.35">
      <c r="A56" s="38">
        <v>5</v>
      </c>
      <c r="B56" s="34" t="s">
        <v>674</v>
      </c>
      <c r="C56" s="34"/>
      <c r="D56" s="34"/>
      <c r="E56" s="34"/>
      <c r="F56" s="34"/>
      <c r="G56" s="34"/>
      <c r="H56" s="34"/>
      <c r="I56" s="34"/>
    </row>
    <row r="57" spans="1:9" x14ac:dyDescent="0.35">
      <c r="A57" s="34"/>
      <c r="B57" s="34"/>
      <c r="C57" s="34"/>
      <c r="D57" s="34"/>
      <c r="E57" s="34"/>
      <c r="F57" s="34"/>
      <c r="G57" s="34"/>
      <c r="H57" s="34"/>
      <c r="I57" s="34"/>
    </row>
    <row r="58" spans="1:9" x14ac:dyDescent="0.35">
      <c r="A58" s="57" t="s">
        <v>675</v>
      </c>
      <c r="B58" s="57" t="str">
        <f>IF(B33&gt;=4,"✓ YES - Strong solidarity profile",IF(B33&gt;=3,"⚡ CONDITIONAL - Moderate solidarity with improvement areas",IF(B33&gt;=2,"⚠️ CONCERNS - Significant gaps in solidarity dimensions","✗ NO - Fundamental solidarity deficits")))</f>
        <v>⚠️ CONCERNS - Significant gaps in solidarity dimensions</v>
      </c>
      <c r="C58" s="57"/>
      <c r="D58" s="57"/>
      <c r="E58" s="57"/>
      <c r="F58" s="57"/>
      <c r="G58" s="34"/>
      <c r="H58" s="34"/>
      <c r="I58" s="34"/>
    </row>
  </sheetData>
  <mergeCells count="16">
    <mergeCell ref="A44:F44"/>
    <mergeCell ref="A45:F45"/>
    <mergeCell ref="A47:F47"/>
    <mergeCell ref="G19:I19"/>
    <mergeCell ref="G20:I20"/>
    <mergeCell ref="G21:I21"/>
    <mergeCell ref="A42:F42"/>
    <mergeCell ref="A43:F43"/>
    <mergeCell ref="A41:F41"/>
    <mergeCell ref="B34:D34"/>
    <mergeCell ref="A29:F29"/>
    <mergeCell ref="A35:F35"/>
    <mergeCell ref="A1:I1"/>
    <mergeCell ref="A3:D3"/>
    <mergeCell ref="G3:I3"/>
    <mergeCell ref="A16:F16"/>
  </mergeCells>
  <conditionalFormatting sqref="C13:C15">
    <cfRule type="containsText" dxfId="7" priority="5" operator="containsText" text="Strong">
      <formula>NOT(ISERROR(SEARCH("Strong",C13)))</formula>
    </cfRule>
    <cfRule type="containsText" dxfId="6" priority="6" operator="containsText" text="Moderate">
      <formula>NOT(ISERROR(SEARCH("Moderate",C13)))</formula>
    </cfRule>
  </conditionalFormatting>
  <conditionalFormatting sqref="C19:C22">
    <cfRule type="containsText" dxfId="5" priority="7" operator="containsText" text="HIGH RISK">
      <formula>NOT(ISERROR(SEARCH("HIGH RISK",C19)))</formula>
    </cfRule>
    <cfRule type="containsText" dxfId="4" priority="8" operator="containsText" text="LOW">
      <formula>NOT(ISERROR(SEARCH("LOW",C19)))</formula>
    </cfRule>
  </conditionalFormatting>
  <conditionalFormatting sqref="I5:I13">
    <cfRule type="containsText" dxfId="3" priority="1" operator="containsText" text="Strong">
      <formula>NOT(ISERROR(SEARCH("Strong",I5)))</formula>
    </cfRule>
    <cfRule type="containsText" dxfId="2" priority="2" operator="containsText" text="Moderate">
      <formula>NOT(ISERROR(SEARCH("Moderate",I5)))</formula>
    </cfRule>
    <cfRule type="containsText" dxfId="1" priority="3" operator="containsText" text="Partial">
      <formula>NOT(ISERROR(SEARCH("Partial",I5)))</formula>
    </cfRule>
    <cfRule type="containsText" dxfId="0" priority="4" operator="containsText" text="Emerging">
      <formula>NOT(ISERROR(SEARCH("Emerging",I5)))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7901-32D6-4017-B852-EA27A538951E}">
  <dimension ref="A1:D30"/>
  <sheetViews>
    <sheetView topLeftCell="A28" workbookViewId="0">
      <selection activeCell="B10" sqref="B10"/>
    </sheetView>
  </sheetViews>
  <sheetFormatPr defaultRowHeight="14.5" x14ac:dyDescent="0.35"/>
  <cols>
    <col min="1" max="1" width="36.36328125" customWidth="1"/>
    <col min="2" max="2" width="45.453125" customWidth="1"/>
    <col min="3" max="3" width="54.54296875" customWidth="1"/>
  </cols>
  <sheetData>
    <row r="1" spans="1:4" ht="23.5" x14ac:dyDescent="0.55000000000000004">
      <c r="A1" s="2" t="s">
        <v>0</v>
      </c>
    </row>
    <row r="2" spans="1:4" ht="18.5" x14ac:dyDescent="0.45">
      <c r="A2" s="4" t="s">
        <v>1</v>
      </c>
      <c r="B2" s="5"/>
      <c r="C2" s="5"/>
      <c r="D2" s="5"/>
    </row>
    <row r="4" spans="1:4" x14ac:dyDescent="0.35">
      <c r="A4" s="6" t="s">
        <v>2</v>
      </c>
      <c r="B4" s="7"/>
      <c r="C4" s="7"/>
      <c r="D4" s="7"/>
    </row>
    <row r="5" spans="1:4" x14ac:dyDescent="0.35">
      <c r="A5" s="8" t="s">
        <v>3</v>
      </c>
      <c r="B5" s="8"/>
      <c r="C5" s="8" t="s">
        <v>5</v>
      </c>
      <c r="D5" s="8"/>
    </row>
    <row r="6" spans="1:4" x14ac:dyDescent="0.35">
      <c r="A6" t="s">
        <v>6</v>
      </c>
      <c r="B6" t="s">
        <v>796</v>
      </c>
      <c r="C6" t="s">
        <v>7</v>
      </c>
    </row>
    <row r="7" spans="1:4" x14ac:dyDescent="0.35">
      <c r="A7" t="s">
        <v>8</v>
      </c>
      <c r="B7" t="s">
        <v>797</v>
      </c>
      <c r="C7" t="s">
        <v>9</v>
      </c>
    </row>
    <row r="8" spans="1:4" x14ac:dyDescent="0.35">
      <c r="A8" t="s">
        <v>10</v>
      </c>
      <c r="B8" t="s">
        <v>798</v>
      </c>
      <c r="C8" t="s">
        <v>11</v>
      </c>
    </row>
    <row r="9" spans="1:4" x14ac:dyDescent="0.35">
      <c r="A9" t="s">
        <v>12</v>
      </c>
      <c r="B9" t="s">
        <v>799</v>
      </c>
      <c r="C9" t="s">
        <v>13</v>
      </c>
    </row>
    <row r="10" spans="1:4" x14ac:dyDescent="0.35">
      <c r="A10" t="s">
        <v>14</v>
      </c>
      <c r="B10" s="33"/>
      <c r="C10" t="s">
        <v>15</v>
      </c>
    </row>
    <row r="11" spans="1:4" x14ac:dyDescent="0.35">
      <c r="A11" t="s">
        <v>16</v>
      </c>
      <c r="B11" s="33"/>
      <c r="C11" t="s">
        <v>17</v>
      </c>
    </row>
    <row r="12" spans="1:4" x14ac:dyDescent="0.35">
      <c r="A12" t="s">
        <v>18</v>
      </c>
      <c r="B12" s="32"/>
      <c r="C12" t="s">
        <v>19</v>
      </c>
    </row>
    <row r="13" spans="1:4" x14ac:dyDescent="0.35">
      <c r="A13" t="s">
        <v>20</v>
      </c>
      <c r="C13" t="s">
        <v>21</v>
      </c>
    </row>
    <row r="14" spans="1:4" x14ac:dyDescent="0.35">
      <c r="A14" t="s">
        <v>22</v>
      </c>
      <c r="C14" t="s">
        <v>23</v>
      </c>
    </row>
    <row r="16" spans="1:4" x14ac:dyDescent="0.35">
      <c r="A16" s="6" t="s">
        <v>24</v>
      </c>
      <c r="B16" s="7"/>
      <c r="C16" s="7"/>
      <c r="D16" s="7"/>
    </row>
    <row r="17" spans="1:4" x14ac:dyDescent="0.35">
      <c r="A17" s="8" t="s">
        <v>3</v>
      </c>
      <c r="B17" s="8"/>
      <c r="C17" s="8" t="s">
        <v>5</v>
      </c>
      <c r="D17" s="8"/>
    </row>
    <row r="18" spans="1:4" x14ac:dyDescent="0.35">
      <c r="A18" t="s">
        <v>25</v>
      </c>
      <c r="C18" t="s">
        <v>26</v>
      </c>
    </row>
    <row r="19" spans="1:4" x14ac:dyDescent="0.35">
      <c r="A19" t="s">
        <v>27</v>
      </c>
      <c r="C19" t="s">
        <v>28</v>
      </c>
    </row>
    <row r="20" spans="1:4" x14ac:dyDescent="0.35">
      <c r="A20" t="s">
        <v>29</v>
      </c>
      <c r="C20" t="s">
        <v>30</v>
      </c>
    </row>
    <row r="21" spans="1:4" x14ac:dyDescent="0.35">
      <c r="A21" t="s">
        <v>31</v>
      </c>
      <c r="C21" t="s">
        <v>32</v>
      </c>
    </row>
    <row r="22" spans="1:4" x14ac:dyDescent="0.35">
      <c r="A22" t="s">
        <v>33</v>
      </c>
      <c r="B22" s="32"/>
      <c r="C22" t="s">
        <v>34</v>
      </c>
    </row>
    <row r="24" spans="1:4" x14ac:dyDescent="0.35">
      <c r="A24" s="6" t="s">
        <v>35</v>
      </c>
      <c r="B24" s="7"/>
      <c r="C24" s="7"/>
      <c r="D24" s="7"/>
    </row>
    <row r="25" spans="1:4" x14ac:dyDescent="0.35">
      <c r="A25" s="8" t="s">
        <v>3</v>
      </c>
      <c r="B25" s="8" t="s">
        <v>4</v>
      </c>
      <c r="C25" s="8" t="s">
        <v>36</v>
      </c>
      <c r="D25" s="8"/>
    </row>
    <row r="26" spans="1:4" x14ac:dyDescent="0.35">
      <c r="A26" t="s">
        <v>37</v>
      </c>
      <c r="C26" t="s">
        <v>38</v>
      </c>
    </row>
    <row r="27" spans="1:4" x14ac:dyDescent="0.35">
      <c r="A27" t="s">
        <v>39</v>
      </c>
      <c r="C27" t="s">
        <v>40</v>
      </c>
    </row>
    <row r="28" spans="1:4" x14ac:dyDescent="0.35">
      <c r="A28" t="s">
        <v>41</v>
      </c>
      <c r="C28" t="s">
        <v>42</v>
      </c>
    </row>
    <row r="29" spans="1:4" x14ac:dyDescent="0.35">
      <c r="A29" t="s">
        <v>43</v>
      </c>
      <c r="C29" t="s">
        <v>44</v>
      </c>
    </row>
    <row r="30" spans="1:4" x14ac:dyDescent="0.35">
      <c r="A30" t="s">
        <v>45</v>
      </c>
      <c r="C30" t="s">
        <v>46</v>
      </c>
    </row>
  </sheetData>
  <dataValidations count="6">
    <dataValidation type="list" allowBlank="1" showInputMessage="1" showErrorMessage="1" sqref="B21" xr:uid="{8500E3A2-4531-46FF-89E2-788536DB55E9}">
      <formula1>"Yes - National,Yes - Subnational,No,Limited"</formula1>
    </dataValidation>
    <dataValidation type="list" allowBlank="1" showInputMessage="1" showErrorMessage="1" sqref="B26" xr:uid="{D2C1DDD7-4F6F-4424-9CA3-7A7C217D4163}">
      <formula1>"Emergency Response,Long-term System Strengthening,Both"</formula1>
    </dataValidation>
    <dataValidation type="list" allowBlank="1" showInputMessage="1" showErrorMessage="1" sqref="B27" xr:uid="{717CA38E-DA18-4083-8629-5075E9FA7921}">
      <formula1>"Grant,Partnership,Contractual,Mixed"</formula1>
    </dataValidation>
    <dataValidation type="list" allowBlank="1" showInputMessage="1" showErrorMessage="1" sqref="B28" xr:uid="{08285A62-C68A-4616-814A-0B75D70E725F}">
      <formula1>"Local,National,Regional,Global"</formula1>
    </dataValidation>
    <dataValidation type="list" allowBlank="1" showInputMessage="1" showErrorMessage="1" sqref="B29" xr:uid="{E98AEE62-61A6-447E-B885-94D952233939}">
      <formula1>"&lt; 100K,100K-1M,1M-10M,10M-100M,&gt; 100M"</formula1>
    </dataValidation>
    <dataValidation type="list" allowBlank="1" showInputMessage="1" showErrorMessage="1" sqref="B14" xr:uid="{EE59A410-80A0-4D18-9295-D99EE524CE35}">
      <formula1>"Funder,Program Manager,Program Analyst,Researcher,Government Official,Community Representative,External Evaluator,Other"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C0D8-675B-44BC-AC82-4AD094FEF4D1}">
  <dimension ref="A1:G148"/>
  <sheetViews>
    <sheetView topLeftCell="A122" workbookViewId="0">
      <selection activeCell="A135" sqref="A135"/>
    </sheetView>
  </sheetViews>
  <sheetFormatPr defaultRowHeight="14.5" x14ac:dyDescent="0.35"/>
  <cols>
    <col min="1" max="1" width="63.6328125" customWidth="1"/>
    <col min="2" max="2" width="27.26953125" customWidth="1"/>
    <col min="3" max="6" width="18.1796875" customWidth="1"/>
    <col min="7" max="7" width="28.08984375" customWidth="1"/>
  </cols>
  <sheetData>
    <row r="1" spans="1:7" ht="21" x14ac:dyDescent="0.5">
      <c r="A1" s="10" t="s">
        <v>47</v>
      </c>
    </row>
    <row r="2" spans="1:7" x14ac:dyDescent="0.35">
      <c r="A2" s="11" t="s">
        <v>48</v>
      </c>
    </row>
    <row r="3" spans="1:7" x14ac:dyDescent="0.35">
      <c r="A3" s="13" t="s">
        <v>49</v>
      </c>
    </row>
    <row r="5" spans="1:7" ht="16" x14ac:dyDescent="0.4">
      <c r="A5" s="14" t="s">
        <v>50</v>
      </c>
      <c r="B5" s="5"/>
      <c r="C5" s="5"/>
      <c r="D5" s="5"/>
      <c r="E5" s="5"/>
      <c r="F5" s="5"/>
      <c r="G5" s="15" t="s">
        <v>51</v>
      </c>
    </row>
    <row r="6" spans="1:7" x14ac:dyDescent="0.35">
      <c r="A6" s="1" t="s">
        <v>52</v>
      </c>
      <c r="B6" s="16">
        <v>3</v>
      </c>
    </row>
    <row r="7" spans="1:7" x14ac:dyDescent="0.35">
      <c r="A7" s="8" t="s">
        <v>53</v>
      </c>
      <c r="B7" s="17"/>
      <c r="C7" s="17"/>
      <c r="D7" s="17"/>
      <c r="E7" s="17"/>
      <c r="F7" s="17"/>
      <c r="G7" s="17"/>
    </row>
    <row r="8" spans="1:7" ht="29" x14ac:dyDescent="0.35">
      <c r="A8" s="18" t="s">
        <v>54</v>
      </c>
    </row>
    <row r="9" spans="1:7" x14ac:dyDescent="0.35">
      <c r="A9" s="11" t="s">
        <v>55</v>
      </c>
      <c r="B9" s="19"/>
      <c r="C9" s="19"/>
      <c r="D9" s="19"/>
      <c r="E9" s="19"/>
      <c r="F9" s="19"/>
      <c r="G9" s="19"/>
    </row>
    <row r="10" spans="1:7" ht="29" x14ac:dyDescent="0.35">
      <c r="A10" s="18" t="s">
        <v>56</v>
      </c>
    </row>
    <row r="11" spans="1:7" x14ac:dyDescent="0.35">
      <c r="A11" s="11" t="s">
        <v>55</v>
      </c>
      <c r="B11" s="19"/>
      <c r="C11" s="19"/>
      <c r="D11" s="19"/>
      <c r="E11" s="19"/>
      <c r="F11" s="19"/>
      <c r="G11" s="19"/>
    </row>
    <row r="12" spans="1:7" ht="29" x14ac:dyDescent="0.35">
      <c r="A12" s="18" t="s">
        <v>57</v>
      </c>
    </row>
    <row r="13" spans="1:7" x14ac:dyDescent="0.35">
      <c r="A13" s="11" t="s">
        <v>55</v>
      </c>
      <c r="B13" s="19"/>
      <c r="C13" s="19"/>
      <c r="D13" s="19"/>
      <c r="E13" s="19"/>
      <c r="F13" s="19"/>
      <c r="G13" s="19"/>
    </row>
    <row r="14" spans="1:7" x14ac:dyDescent="0.35">
      <c r="A14" s="21" t="s">
        <v>58</v>
      </c>
      <c r="B14" s="22"/>
      <c r="C14" s="22"/>
      <c r="D14" s="22"/>
      <c r="E14" s="22"/>
      <c r="F14" s="22"/>
      <c r="G14" s="22"/>
    </row>
    <row r="15" spans="1:7" x14ac:dyDescent="0.35">
      <c r="A15" t="s">
        <v>59</v>
      </c>
      <c r="B15" s="16" t="s">
        <v>801</v>
      </c>
    </row>
    <row r="16" spans="1:7" x14ac:dyDescent="0.35">
      <c r="A16" t="s">
        <v>60</v>
      </c>
    </row>
    <row r="17" spans="1:7" x14ac:dyDescent="0.35">
      <c r="A17" s="19"/>
      <c r="B17" s="19"/>
      <c r="C17" s="19"/>
      <c r="D17" s="19"/>
      <c r="E17" s="19"/>
      <c r="F17" s="19"/>
      <c r="G17" s="19"/>
    </row>
    <row r="18" spans="1:7" x14ac:dyDescent="0.35">
      <c r="A18" s="1" t="s">
        <v>61</v>
      </c>
      <c r="B18" s="16" t="s">
        <v>562</v>
      </c>
    </row>
    <row r="21" spans="1:7" ht="16" x14ac:dyDescent="0.4">
      <c r="A21" s="14" t="s">
        <v>62</v>
      </c>
      <c r="B21" s="5"/>
      <c r="C21" s="5"/>
      <c r="D21" s="5"/>
      <c r="E21" s="5"/>
      <c r="F21" s="5"/>
      <c r="G21" s="15" t="s">
        <v>51</v>
      </c>
    </row>
    <row r="22" spans="1:7" x14ac:dyDescent="0.35">
      <c r="A22" s="1" t="s">
        <v>52</v>
      </c>
      <c r="B22" s="16">
        <v>4</v>
      </c>
    </row>
    <row r="23" spans="1:7" x14ac:dyDescent="0.35">
      <c r="A23" s="8" t="s">
        <v>53</v>
      </c>
      <c r="B23" s="17"/>
      <c r="C23" s="17"/>
      <c r="D23" s="17"/>
      <c r="E23" s="17"/>
      <c r="F23" s="17"/>
      <c r="G23" s="17"/>
    </row>
    <row r="24" spans="1:7" ht="29" x14ac:dyDescent="0.35">
      <c r="A24" s="18" t="s">
        <v>63</v>
      </c>
      <c r="B24" t="s">
        <v>693</v>
      </c>
    </row>
    <row r="25" spans="1:7" x14ac:dyDescent="0.35">
      <c r="A25" s="11" t="s">
        <v>55</v>
      </c>
      <c r="B25" s="19"/>
      <c r="C25" s="19"/>
      <c r="D25" s="19"/>
      <c r="E25" s="19"/>
      <c r="F25" s="19"/>
      <c r="G25" s="19"/>
    </row>
    <row r="26" spans="1:7" ht="29" x14ac:dyDescent="0.35">
      <c r="A26" s="18" t="s">
        <v>64</v>
      </c>
      <c r="B26" t="s">
        <v>694</v>
      </c>
    </row>
    <row r="27" spans="1:7" x14ac:dyDescent="0.35">
      <c r="A27" s="11" t="s">
        <v>55</v>
      </c>
      <c r="B27" s="19"/>
      <c r="C27" s="19"/>
      <c r="D27" s="19"/>
      <c r="E27" s="19"/>
      <c r="F27" s="19"/>
      <c r="G27" s="19"/>
    </row>
    <row r="28" spans="1:7" ht="29" x14ac:dyDescent="0.35">
      <c r="A28" s="18" t="s">
        <v>65</v>
      </c>
      <c r="B28" t="s">
        <v>695</v>
      </c>
    </row>
    <row r="29" spans="1:7" x14ac:dyDescent="0.35">
      <c r="A29" s="11" t="s">
        <v>55</v>
      </c>
      <c r="B29" s="19"/>
      <c r="C29" s="19"/>
      <c r="D29" s="19"/>
      <c r="E29" s="19"/>
      <c r="F29" s="19"/>
      <c r="G29" s="19"/>
    </row>
    <row r="30" spans="1:7" x14ac:dyDescent="0.35">
      <c r="A30" s="21" t="s">
        <v>58</v>
      </c>
      <c r="B30" s="22"/>
      <c r="C30" s="22"/>
      <c r="D30" s="22"/>
      <c r="E30" s="22"/>
      <c r="F30" s="22"/>
      <c r="G30" s="22"/>
    </row>
    <row r="31" spans="1:7" x14ac:dyDescent="0.35">
      <c r="A31" t="s">
        <v>59</v>
      </c>
      <c r="B31" s="16" t="s">
        <v>802</v>
      </c>
    </row>
    <row r="32" spans="1:7" x14ac:dyDescent="0.35">
      <c r="A32" t="s">
        <v>60</v>
      </c>
    </row>
    <row r="33" spans="1:7" x14ac:dyDescent="0.35">
      <c r="A33" s="19"/>
      <c r="B33" s="19"/>
      <c r="C33" s="19"/>
      <c r="D33" s="19"/>
      <c r="E33" s="19"/>
      <c r="F33" s="19"/>
      <c r="G33" s="19"/>
    </row>
    <row r="34" spans="1:7" x14ac:dyDescent="0.35">
      <c r="A34" s="1" t="s">
        <v>61</v>
      </c>
      <c r="B34" s="16" t="s">
        <v>563</v>
      </c>
    </row>
    <row r="37" spans="1:7" ht="16" x14ac:dyDescent="0.4">
      <c r="A37" s="14" t="s">
        <v>66</v>
      </c>
      <c r="B37" s="5"/>
      <c r="C37" s="5"/>
      <c r="D37" s="5"/>
      <c r="E37" s="5"/>
      <c r="F37" s="5"/>
      <c r="G37" s="15" t="s">
        <v>51</v>
      </c>
    </row>
    <row r="38" spans="1:7" x14ac:dyDescent="0.35">
      <c r="A38" s="1" t="s">
        <v>52</v>
      </c>
      <c r="B38" s="16">
        <v>2</v>
      </c>
    </row>
    <row r="39" spans="1:7" x14ac:dyDescent="0.35">
      <c r="A39" s="8" t="s">
        <v>53</v>
      </c>
      <c r="B39" s="17"/>
      <c r="C39" s="17"/>
      <c r="D39" s="17"/>
      <c r="E39" s="17"/>
      <c r="F39" s="17"/>
      <c r="G39" s="17"/>
    </row>
    <row r="40" spans="1:7" ht="29" x14ac:dyDescent="0.35">
      <c r="A40" s="18" t="s">
        <v>67</v>
      </c>
      <c r="B40" t="s">
        <v>696</v>
      </c>
    </row>
    <row r="41" spans="1:7" x14ac:dyDescent="0.35">
      <c r="A41" s="11" t="s">
        <v>55</v>
      </c>
      <c r="B41" s="19"/>
      <c r="C41" s="19"/>
      <c r="D41" s="19"/>
      <c r="E41" s="19"/>
      <c r="F41" s="19"/>
      <c r="G41" s="19"/>
    </row>
    <row r="42" spans="1:7" ht="29" x14ac:dyDescent="0.35">
      <c r="A42" s="18" t="s">
        <v>68</v>
      </c>
      <c r="B42" t="s">
        <v>697</v>
      </c>
    </row>
    <row r="43" spans="1:7" x14ac:dyDescent="0.35">
      <c r="A43" s="11" t="s">
        <v>55</v>
      </c>
      <c r="B43" s="19"/>
      <c r="C43" s="19"/>
      <c r="D43" s="19"/>
      <c r="E43" s="19"/>
      <c r="F43" s="19"/>
      <c r="G43" s="19"/>
    </row>
    <row r="44" spans="1:7" ht="29" x14ac:dyDescent="0.35">
      <c r="A44" s="18" t="s">
        <v>69</v>
      </c>
      <c r="B44" t="s">
        <v>698</v>
      </c>
    </row>
    <row r="45" spans="1:7" x14ac:dyDescent="0.35">
      <c r="A45" s="11" t="s">
        <v>55</v>
      </c>
      <c r="B45" s="19"/>
      <c r="C45" s="19"/>
      <c r="D45" s="19"/>
      <c r="E45" s="19"/>
      <c r="F45" s="19"/>
      <c r="G45" s="19"/>
    </row>
    <row r="46" spans="1:7" x14ac:dyDescent="0.35">
      <c r="A46" s="21" t="s">
        <v>58</v>
      </c>
      <c r="B46" s="22"/>
      <c r="C46" s="22"/>
      <c r="D46" s="22"/>
      <c r="E46" s="22"/>
      <c r="F46" s="22"/>
      <c r="G46" s="22"/>
    </row>
    <row r="47" spans="1:7" x14ac:dyDescent="0.35">
      <c r="A47" t="s">
        <v>59</v>
      </c>
      <c r="B47" s="16"/>
    </row>
    <row r="48" spans="1:7" x14ac:dyDescent="0.35">
      <c r="A48" t="s">
        <v>60</v>
      </c>
    </row>
    <row r="49" spans="1:7" x14ac:dyDescent="0.35">
      <c r="A49" s="19"/>
      <c r="B49" s="19"/>
      <c r="C49" s="19"/>
      <c r="D49" s="19"/>
      <c r="E49" s="19"/>
      <c r="F49" s="19"/>
      <c r="G49" s="19"/>
    </row>
    <row r="50" spans="1:7" x14ac:dyDescent="0.35">
      <c r="A50" s="1" t="s">
        <v>61</v>
      </c>
      <c r="B50" s="16"/>
    </row>
    <row r="53" spans="1:7" ht="16" x14ac:dyDescent="0.4">
      <c r="A53" s="14" t="s">
        <v>70</v>
      </c>
      <c r="B53" s="5"/>
      <c r="C53" s="5"/>
      <c r="D53" s="5"/>
      <c r="E53" s="5"/>
      <c r="F53" s="5"/>
      <c r="G53" s="15" t="s">
        <v>71</v>
      </c>
    </row>
    <row r="54" spans="1:7" x14ac:dyDescent="0.35">
      <c r="A54" s="1" t="s">
        <v>52</v>
      </c>
      <c r="B54" s="16">
        <v>2</v>
      </c>
    </row>
    <row r="55" spans="1:7" x14ac:dyDescent="0.35">
      <c r="A55" s="8" t="s">
        <v>53</v>
      </c>
      <c r="B55" s="17"/>
      <c r="C55" s="17"/>
      <c r="D55" s="17"/>
      <c r="E55" s="17"/>
      <c r="F55" s="17"/>
      <c r="G55" s="17"/>
    </row>
    <row r="56" spans="1:7" x14ac:dyDescent="0.35">
      <c r="A56" s="18" t="s">
        <v>72</v>
      </c>
    </row>
    <row r="57" spans="1:7" x14ac:dyDescent="0.35">
      <c r="A57" s="11" t="s">
        <v>55</v>
      </c>
      <c r="B57" s="19"/>
      <c r="C57" s="19"/>
      <c r="D57" s="19"/>
      <c r="E57" s="19"/>
      <c r="F57" s="19"/>
      <c r="G57" s="19"/>
    </row>
    <row r="58" spans="1:7" x14ac:dyDescent="0.35">
      <c r="A58" s="18" t="s">
        <v>73</v>
      </c>
    </row>
    <row r="59" spans="1:7" x14ac:dyDescent="0.35">
      <c r="A59" s="11" t="s">
        <v>55</v>
      </c>
      <c r="B59" s="19"/>
      <c r="C59" s="19"/>
      <c r="D59" s="19"/>
      <c r="E59" s="19"/>
      <c r="F59" s="19"/>
      <c r="G59" s="19"/>
    </row>
    <row r="60" spans="1:7" x14ac:dyDescent="0.35">
      <c r="A60" s="18" t="s">
        <v>74</v>
      </c>
    </row>
    <row r="61" spans="1:7" x14ac:dyDescent="0.35">
      <c r="A61" s="11" t="s">
        <v>55</v>
      </c>
      <c r="B61" s="19"/>
      <c r="C61" s="19"/>
      <c r="D61" s="19"/>
      <c r="E61" s="19"/>
      <c r="F61" s="19"/>
      <c r="G61" s="19"/>
    </row>
    <row r="62" spans="1:7" x14ac:dyDescent="0.35">
      <c r="A62" s="18" t="s">
        <v>75</v>
      </c>
    </row>
    <row r="63" spans="1:7" x14ac:dyDescent="0.35">
      <c r="A63" s="11" t="s">
        <v>55</v>
      </c>
      <c r="B63" s="19"/>
      <c r="C63" s="19"/>
      <c r="D63" s="19"/>
      <c r="E63" s="19"/>
      <c r="F63" s="19"/>
      <c r="G63" s="19"/>
    </row>
    <row r="64" spans="1:7" x14ac:dyDescent="0.35">
      <c r="A64" s="21" t="s">
        <v>58</v>
      </c>
      <c r="B64" s="22"/>
      <c r="C64" s="22"/>
      <c r="D64" s="22"/>
      <c r="E64" s="22"/>
      <c r="F64" s="22"/>
      <c r="G64" s="22"/>
    </row>
    <row r="65" spans="1:7" x14ac:dyDescent="0.35">
      <c r="A65" t="s">
        <v>59</v>
      </c>
      <c r="B65" s="16"/>
    </row>
    <row r="66" spans="1:7" x14ac:dyDescent="0.35">
      <c r="A66" t="s">
        <v>60</v>
      </c>
    </row>
    <row r="67" spans="1:7" x14ac:dyDescent="0.35">
      <c r="A67" s="19"/>
      <c r="B67" s="19" t="s">
        <v>630</v>
      </c>
      <c r="C67" s="19"/>
      <c r="D67" s="19"/>
      <c r="E67" s="19"/>
      <c r="F67" s="19"/>
      <c r="G67" s="19"/>
    </row>
    <row r="68" spans="1:7" x14ac:dyDescent="0.35">
      <c r="A68" s="1" t="s">
        <v>61</v>
      </c>
      <c r="B68" s="16"/>
    </row>
    <row r="69" spans="1:7" x14ac:dyDescent="0.35">
      <c r="B69" t="s">
        <v>563</v>
      </c>
    </row>
    <row r="71" spans="1:7" ht="16" x14ac:dyDescent="0.4">
      <c r="A71" s="14" t="s">
        <v>76</v>
      </c>
      <c r="B71" s="5"/>
      <c r="C71" s="5"/>
      <c r="D71" s="5"/>
      <c r="E71" s="5"/>
      <c r="F71" s="5"/>
      <c r="G71" s="15" t="s">
        <v>71</v>
      </c>
    </row>
    <row r="72" spans="1:7" x14ac:dyDescent="0.35">
      <c r="A72" s="1" t="s">
        <v>52</v>
      </c>
      <c r="B72" s="16">
        <v>1</v>
      </c>
    </row>
    <row r="73" spans="1:7" x14ac:dyDescent="0.35">
      <c r="A73" s="8" t="s">
        <v>53</v>
      </c>
      <c r="B73" s="17"/>
      <c r="C73" s="17"/>
      <c r="D73" s="17"/>
      <c r="E73" s="17"/>
      <c r="F73" s="17"/>
      <c r="G73" s="17"/>
    </row>
    <row r="74" spans="1:7" x14ac:dyDescent="0.35">
      <c r="A74" s="18" t="s">
        <v>77</v>
      </c>
    </row>
    <row r="75" spans="1:7" x14ac:dyDescent="0.35">
      <c r="A75" s="11" t="s">
        <v>55</v>
      </c>
      <c r="B75" s="19"/>
      <c r="C75" s="19"/>
      <c r="D75" s="19"/>
      <c r="E75" s="19"/>
      <c r="F75" s="19"/>
      <c r="G75" s="19"/>
    </row>
    <row r="76" spans="1:7" ht="29" x14ac:dyDescent="0.35">
      <c r="A76" s="18" t="s">
        <v>78</v>
      </c>
    </row>
    <row r="77" spans="1:7" x14ac:dyDescent="0.35">
      <c r="A77" s="11" t="s">
        <v>55</v>
      </c>
      <c r="B77" s="19"/>
      <c r="C77" s="19"/>
      <c r="D77" s="19"/>
      <c r="E77" s="19"/>
      <c r="F77" s="19"/>
      <c r="G77" s="19"/>
    </row>
    <row r="78" spans="1:7" x14ac:dyDescent="0.35">
      <c r="A78" s="18" t="s">
        <v>79</v>
      </c>
    </row>
    <row r="79" spans="1:7" x14ac:dyDescent="0.35">
      <c r="A79" s="11" t="s">
        <v>55</v>
      </c>
      <c r="B79" s="19"/>
      <c r="C79" s="19"/>
      <c r="D79" s="19"/>
      <c r="E79" s="19"/>
      <c r="F79" s="19"/>
      <c r="G79" s="19"/>
    </row>
    <row r="80" spans="1:7" x14ac:dyDescent="0.35">
      <c r="A80" s="21" t="s">
        <v>58</v>
      </c>
      <c r="B80" s="22"/>
      <c r="C80" s="22"/>
      <c r="D80" s="22"/>
      <c r="E80" s="22"/>
      <c r="F80" s="22"/>
      <c r="G80" s="22"/>
    </row>
    <row r="81" spans="1:7" x14ac:dyDescent="0.35">
      <c r="A81" t="s">
        <v>59</v>
      </c>
      <c r="B81" s="16"/>
    </row>
    <row r="82" spans="1:7" x14ac:dyDescent="0.35">
      <c r="A82" t="s">
        <v>60</v>
      </c>
    </row>
    <row r="83" spans="1:7" x14ac:dyDescent="0.35">
      <c r="A83" s="19"/>
      <c r="B83" s="19" t="s">
        <v>699</v>
      </c>
      <c r="C83" s="19"/>
      <c r="D83" s="19"/>
      <c r="E83" s="19"/>
      <c r="F83" s="19"/>
      <c r="G83" s="19"/>
    </row>
    <row r="84" spans="1:7" x14ac:dyDescent="0.35">
      <c r="A84" s="1" t="s">
        <v>61</v>
      </c>
      <c r="B84" s="16"/>
    </row>
    <row r="85" spans="1:7" x14ac:dyDescent="0.35">
      <c r="B85" t="s">
        <v>562</v>
      </c>
    </row>
    <row r="87" spans="1:7" ht="16" x14ac:dyDescent="0.4">
      <c r="A87" s="14" t="s">
        <v>80</v>
      </c>
      <c r="B87" s="5"/>
      <c r="C87" s="5"/>
      <c r="D87" s="5"/>
      <c r="E87" s="5"/>
      <c r="F87" s="5"/>
      <c r="G87" s="15" t="s">
        <v>71</v>
      </c>
    </row>
    <row r="88" spans="1:7" x14ac:dyDescent="0.35">
      <c r="A88" s="1" t="s">
        <v>52</v>
      </c>
      <c r="B88" s="16">
        <v>2</v>
      </c>
    </row>
    <row r="89" spans="1:7" x14ac:dyDescent="0.35">
      <c r="A89" s="8" t="s">
        <v>53</v>
      </c>
      <c r="B89" s="17"/>
      <c r="C89" s="17"/>
      <c r="D89" s="17"/>
      <c r="E89" s="17"/>
      <c r="F89" s="17"/>
      <c r="G89" s="17"/>
    </row>
    <row r="90" spans="1:7" x14ac:dyDescent="0.35">
      <c r="A90" s="18" t="s">
        <v>81</v>
      </c>
    </row>
    <row r="91" spans="1:7" x14ac:dyDescent="0.35">
      <c r="A91" s="11" t="s">
        <v>55</v>
      </c>
      <c r="B91" s="19"/>
      <c r="C91" s="19"/>
      <c r="D91" s="19"/>
      <c r="E91" s="19"/>
      <c r="F91" s="19"/>
      <c r="G91" s="19"/>
    </row>
    <row r="92" spans="1:7" ht="29" x14ac:dyDescent="0.35">
      <c r="A92" s="18" t="s">
        <v>82</v>
      </c>
    </row>
    <row r="93" spans="1:7" x14ac:dyDescent="0.35">
      <c r="A93" s="11" t="s">
        <v>55</v>
      </c>
      <c r="B93" s="19"/>
      <c r="C93" s="19"/>
      <c r="D93" s="19"/>
      <c r="E93" s="19"/>
      <c r="F93" s="19"/>
      <c r="G93" s="19"/>
    </row>
    <row r="94" spans="1:7" x14ac:dyDescent="0.35">
      <c r="A94" s="18" t="s">
        <v>83</v>
      </c>
    </row>
    <row r="95" spans="1:7" x14ac:dyDescent="0.35">
      <c r="A95" s="11" t="s">
        <v>55</v>
      </c>
      <c r="B95" s="19"/>
      <c r="C95" s="19"/>
      <c r="D95" s="19"/>
      <c r="E95" s="19"/>
      <c r="F95" s="19"/>
      <c r="G95" s="19"/>
    </row>
    <row r="96" spans="1:7" x14ac:dyDescent="0.35">
      <c r="A96" s="21" t="s">
        <v>58</v>
      </c>
      <c r="B96" s="22"/>
      <c r="C96" s="22"/>
      <c r="D96" s="22"/>
      <c r="E96" s="22"/>
      <c r="F96" s="22"/>
      <c r="G96" s="22"/>
    </row>
    <row r="97" spans="1:7" x14ac:dyDescent="0.35">
      <c r="A97" t="s">
        <v>59</v>
      </c>
      <c r="B97" s="16"/>
    </row>
    <row r="98" spans="1:7" x14ac:dyDescent="0.35">
      <c r="A98" t="s">
        <v>60</v>
      </c>
    </row>
    <row r="99" spans="1:7" x14ac:dyDescent="0.35">
      <c r="A99" s="19"/>
      <c r="B99" s="19" t="s">
        <v>700</v>
      </c>
      <c r="C99" s="19"/>
      <c r="D99" s="19"/>
      <c r="E99" s="19"/>
      <c r="F99" s="19"/>
      <c r="G99" s="19"/>
    </row>
    <row r="100" spans="1:7" x14ac:dyDescent="0.35">
      <c r="A100" s="1" t="s">
        <v>61</v>
      </c>
      <c r="B100" s="16"/>
    </row>
    <row r="101" spans="1:7" x14ac:dyDescent="0.35">
      <c r="B101" t="s">
        <v>563</v>
      </c>
    </row>
    <row r="103" spans="1:7" ht="16" x14ac:dyDescent="0.4">
      <c r="A103" s="14" t="s">
        <v>84</v>
      </c>
      <c r="B103" s="5"/>
      <c r="C103" s="5"/>
      <c r="D103" s="5"/>
      <c r="E103" s="5"/>
      <c r="F103" s="5"/>
      <c r="G103" s="15" t="s">
        <v>85</v>
      </c>
    </row>
    <row r="104" spans="1:7" x14ac:dyDescent="0.35">
      <c r="A104" s="1" t="s">
        <v>52</v>
      </c>
      <c r="B104" s="16">
        <v>2</v>
      </c>
    </row>
    <row r="105" spans="1:7" x14ac:dyDescent="0.35">
      <c r="A105" s="8" t="s">
        <v>53</v>
      </c>
      <c r="B105" s="17"/>
      <c r="C105" s="17"/>
      <c r="D105" s="17"/>
      <c r="E105" s="17"/>
      <c r="F105" s="17"/>
      <c r="G105" s="17"/>
    </row>
    <row r="106" spans="1:7" ht="29" x14ac:dyDescent="0.35">
      <c r="A106" s="18" t="s">
        <v>86</v>
      </c>
    </row>
    <row r="107" spans="1:7" x14ac:dyDescent="0.35">
      <c r="A107" s="11" t="s">
        <v>55</v>
      </c>
      <c r="B107" s="19"/>
      <c r="C107" s="19"/>
      <c r="D107" s="19"/>
      <c r="E107" s="19"/>
      <c r="F107" s="19"/>
      <c r="G107" s="19"/>
    </row>
    <row r="108" spans="1:7" x14ac:dyDescent="0.35">
      <c r="A108" s="18" t="s">
        <v>87</v>
      </c>
    </row>
    <row r="109" spans="1:7" x14ac:dyDescent="0.35">
      <c r="A109" s="11" t="s">
        <v>55</v>
      </c>
      <c r="B109" s="19"/>
      <c r="C109" s="19"/>
      <c r="D109" s="19"/>
      <c r="E109" s="19"/>
      <c r="F109" s="19"/>
      <c r="G109" s="19"/>
    </row>
    <row r="110" spans="1:7" x14ac:dyDescent="0.35">
      <c r="A110" s="18" t="s">
        <v>88</v>
      </c>
    </row>
    <row r="111" spans="1:7" x14ac:dyDescent="0.35">
      <c r="A111" s="11" t="s">
        <v>55</v>
      </c>
      <c r="B111" s="19"/>
      <c r="C111" s="19"/>
      <c r="D111" s="19"/>
      <c r="E111" s="19"/>
      <c r="F111" s="19"/>
      <c r="G111" s="19"/>
    </row>
    <row r="112" spans="1:7" x14ac:dyDescent="0.35">
      <c r="A112" s="21" t="s">
        <v>58</v>
      </c>
      <c r="B112" s="22"/>
      <c r="C112" s="22"/>
      <c r="D112" s="22"/>
      <c r="E112" s="22"/>
      <c r="F112" s="22"/>
      <c r="G112" s="22"/>
    </row>
    <row r="113" spans="1:7" x14ac:dyDescent="0.35">
      <c r="A113" t="s">
        <v>59</v>
      </c>
      <c r="B113" s="16"/>
    </row>
    <row r="114" spans="1:7" x14ac:dyDescent="0.35">
      <c r="A114" t="s">
        <v>60</v>
      </c>
    </row>
    <row r="115" spans="1:7" x14ac:dyDescent="0.35">
      <c r="A115" s="19"/>
      <c r="B115" s="19" t="s">
        <v>701</v>
      </c>
      <c r="C115" s="19"/>
      <c r="D115" s="19"/>
      <c r="E115" s="19"/>
      <c r="F115" s="19"/>
      <c r="G115" s="19"/>
    </row>
    <row r="116" spans="1:7" x14ac:dyDescent="0.35">
      <c r="A116" s="1" t="s">
        <v>61</v>
      </c>
      <c r="B116" s="16"/>
    </row>
    <row r="117" spans="1:7" x14ac:dyDescent="0.35">
      <c r="B117" t="s">
        <v>563</v>
      </c>
    </row>
    <row r="119" spans="1:7" ht="16" x14ac:dyDescent="0.4">
      <c r="A119" s="14" t="s">
        <v>89</v>
      </c>
      <c r="B119" s="5"/>
      <c r="C119" s="5"/>
      <c r="D119" s="5"/>
      <c r="E119" s="5"/>
      <c r="F119" s="5"/>
      <c r="G119" s="15" t="s">
        <v>85</v>
      </c>
    </row>
    <row r="120" spans="1:7" x14ac:dyDescent="0.35">
      <c r="A120" s="1" t="s">
        <v>52</v>
      </c>
      <c r="B120" s="16">
        <v>2</v>
      </c>
    </row>
    <row r="121" spans="1:7" x14ac:dyDescent="0.35">
      <c r="A121" s="8" t="s">
        <v>53</v>
      </c>
      <c r="B121" s="17"/>
      <c r="C121" s="17"/>
      <c r="D121" s="17"/>
      <c r="E121" s="17"/>
      <c r="F121" s="17"/>
      <c r="G121" s="17"/>
    </row>
    <row r="122" spans="1:7" ht="29" x14ac:dyDescent="0.35">
      <c r="A122" s="18" t="s">
        <v>90</v>
      </c>
    </row>
    <row r="123" spans="1:7" x14ac:dyDescent="0.35">
      <c r="A123" s="11" t="s">
        <v>55</v>
      </c>
      <c r="B123" s="19"/>
      <c r="C123" s="19"/>
      <c r="D123" s="19"/>
      <c r="E123" s="19"/>
      <c r="F123" s="19"/>
      <c r="G123" s="19"/>
    </row>
    <row r="124" spans="1:7" x14ac:dyDescent="0.35">
      <c r="A124" s="18" t="s">
        <v>91</v>
      </c>
    </row>
    <row r="125" spans="1:7" x14ac:dyDescent="0.35">
      <c r="A125" s="11" t="s">
        <v>55</v>
      </c>
      <c r="B125" s="19"/>
      <c r="C125" s="19"/>
      <c r="D125" s="19"/>
      <c r="E125" s="19"/>
      <c r="F125" s="19"/>
      <c r="G125" s="19"/>
    </row>
    <row r="126" spans="1:7" x14ac:dyDescent="0.35">
      <c r="A126" s="18" t="s">
        <v>92</v>
      </c>
    </row>
    <row r="127" spans="1:7" x14ac:dyDescent="0.35">
      <c r="A127" s="11" t="s">
        <v>55</v>
      </c>
      <c r="B127" s="19"/>
      <c r="C127" s="19"/>
      <c r="D127" s="19"/>
      <c r="E127" s="19"/>
      <c r="F127" s="19"/>
      <c r="G127" s="19"/>
    </row>
    <row r="128" spans="1:7" x14ac:dyDescent="0.35">
      <c r="A128" s="21" t="s">
        <v>58</v>
      </c>
      <c r="B128" s="22"/>
      <c r="C128" s="22"/>
      <c r="D128" s="22"/>
      <c r="E128" s="22"/>
      <c r="F128" s="22"/>
      <c r="G128" s="22"/>
    </row>
    <row r="129" spans="1:7" x14ac:dyDescent="0.35">
      <c r="A129" t="s">
        <v>59</v>
      </c>
      <c r="B129" s="16"/>
    </row>
    <row r="130" spans="1:7" x14ac:dyDescent="0.35">
      <c r="A130" t="s">
        <v>60</v>
      </c>
    </row>
    <row r="131" spans="1:7" x14ac:dyDescent="0.35">
      <c r="A131" s="19"/>
      <c r="B131" s="19" t="s">
        <v>702</v>
      </c>
      <c r="C131" s="19"/>
      <c r="D131" s="19"/>
      <c r="E131" s="19"/>
      <c r="F131" s="19"/>
      <c r="G131" s="19"/>
    </row>
    <row r="132" spans="1:7" x14ac:dyDescent="0.35">
      <c r="A132" s="1" t="s">
        <v>61</v>
      </c>
      <c r="B132" s="16"/>
    </row>
    <row r="133" spans="1:7" x14ac:dyDescent="0.35">
      <c r="B133" t="s">
        <v>562</v>
      </c>
    </row>
    <row r="135" spans="1:7" ht="16" x14ac:dyDescent="0.4">
      <c r="A135" s="14" t="s">
        <v>93</v>
      </c>
      <c r="B135" s="5"/>
      <c r="C135" s="5"/>
      <c r="D135" s="5"/>
      <c r="E135" s="5"/>
      <c r="F135" s="5"/>
      <c r="G135" s="15" t="s">
        <v>85</v>
      </c>
    </row>
    <row r="136" spans="1:7" x14ac:dyDescent="0.35">
      <c r="A136" s="1" t="s">
        <v>52</v>
      </c>
      <c r="B136" s="16">
        <v>4</v>
      </c>
    </row>
    <row r="137" spans="1:7" x14ac:dyDescent="0.35">
      <c r="A137" s="8" t="s">
        <v>53</v>
      </c>
      <c r="B137" s="17"/>
      <c r="C137" s="17"/>
      <c r="D137" s="17"/>
      <c r="E137" s="17"/>
      <c r="F137" s="17"/>
      <c r="G137" s="17"/>
    </row>
    <row r="138" spans="1:7" ht="29" x14ac:dyDescent="0.35">
      <c r="A138" s="18" t="s">
        <v>94</v>
      </c>
    </row>
    <row r="139" spans="1:7" x14ac:dyDescent="0.35">
      <c r="A139" s="11" t="s">
        <v>55</v>
      </c>
      <c r="B139" s="19"/>
      <c r="C139" s="19"/>
      <c r="D139" s="19"/>
      <c r="E139" s="19"/>
      <c r="F139" s="19"/>
      <c r="G139" s="19"/>
    </row>
    <row r="140" spans="1:7" ht="29" x14ac:dyDescent="0.35">
      <c r="A140" s="18" t="s">
        <v>95</v>
      </c>
    </row>
    <row r="141" spans="1:7" x14ac:dyDescent="0.35">
      <c r="A141" s="11" t="s">
        <v>55</v>
      </c>
      <c r="B141" s="19"/>
      <c r="C141" s="19"/>
      <c r="D141" s="19"/>
      <c r="E141" s="19"/>
      <c r="F141" s="19"/>
      <c r="G141" s="19"/>
    </row>
    <row r="142" spans="1:7" x14ac:dyDescent="0.35">
      <c r="A142" s="18" t="s">
        <v>96</v>
      </c>
    </row>
    <row r="143" spans="1:7" x14ac:dyDescent="0.35">
      <c r="A143" s="11" t="s">
        <v>55</v>
      </c>
      <c r="B143" s="19"/>
      <c r="C143" s="19"/>
      <c r="D143" s="19"/>
      <c r="E143" s="19"/>
      <c r="F143" s="19"/>
      <c r="G143" s="19"/>
    </row>
    <row r="144" spans="1:7" x14ac:dyDescent="0.35">
      <c r="A144" s="21" t="s">
        <v>58</v>
      </c>
      <c r="B144" s="22"/>
      <c r="C144" s="22"/>
      <c r="D144" s="22"/>
      <c r="E144" s="22"/>
      <c r="F144" s="22"/>
      <c r="G144" s="22"/>
    </row>
    <row r="145" spans="1:7" x14ac:dyDescent="0.35">
      <c r="A145" t="s">
        <v>59</v>
      </c>
      <c r="B145" s="16"/>
    </row>
    <row r="146" spans="1:7" x14ac:dyDescent="0.35">
      <c r="A146" t="s">
        <v>60</v>
      </c>
    </row>
    <row r="147" spans="1:7" x14ac:dyDescent="0.35">
      <c r="A147" s="19"/>
      <c r="B147" s="19" t="s">
        <v>631</v>
      </c>
      <c r="C147" s="19"/>
      <c r="D147" s="19"/>
      <c r="E147" s="19"/>
      <c r="F147" s="19"/>
      <c r="G147" s="19"/>
    </row>
    <row r="148" spans="1:7" x14ac:dyDescent="0.35">
      <c r="A148" s="1" t="s">
        <v>61</v>
      </c>
      <c r="B148" s="16" t="s">
        <v>562</v>
      </c>
    </row>
  </sheetData>
  <dataValidations count="3">
    <dataValidation type="whole" allowBlank="1" showInputMessage="1" showErrorMessage="1" errorTitle="Invalid Rating" error="Please enter a number between 1 and 5" promptTitle="Rating Scale" prompt="Enter a rating from 1 (Emerging) to 5 (Transformative)" sqref="B6 B136 B120 B104 B88 B72 B54 B38 B22" xr:uid="{9C66BE77-9754-48F3-8292-8C220C409702}">
      <formula1>1</formula1>
      <formula2>5</formula2>
    </dataValidation>
    <dataValidation type="list" allowBlank="1" showInputMessage="1" showErrorMessage="1" sqref="B18 B34 B50 B68 B84 B100 B116 B132 B148" xr:uid="{12DA8404-426F-438F-A3C9-0FC17FD60974}">
      <formula1>"Low,Medium,High"</formula1>
    </dataValidation>
    <dataValidation type="list" allowBlank="1" showInputMessage="1" showErrorMessage="1" sqref="B15 B31 B47 B65 B81 B97 B113 B129 B145" xr:uid="{08F5A24B-0D46-4635-AB5F-19F81E161D48}">
      <formula1>"Documents,Interviews,Observations,Surveys,Secondary Data,Multiple Sources"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9045-0BED-419C-88F3-F7A454A5283C}">
  <dimension ref="A1:E36"/>
  <sheetViews>
    <sheetView workbookViewId="0">
      <selection activeCell="A33" sqref="A33:A36"/>
    </sheetView>
  </sheetViews>
  <sheetFormatPr defaultRowHeight="14.5" x14ac:dyDescent="0.35"/>
  <cols>
    <col min="1" max="1" width="63.6328125" customWidth="1"/>
    <col min="2" max="2" width="27.26953125" customWidth="1"/>
    <col min="3" max="3" width="45.453125" customWidth="1"/>
    <col min="4" max="4" width="27.26953125" customWidth="1"/>
  </cols>
  <sheetData>
    <row r="1" spans="1:5" ht="21" x14ac:dyDescent="0.5">
      <c r="A1" s="10" t="s">
        <v>97</v>
      </c>
    </row>
    <row r="2" spans="1:5" x14ac:dyDescent="0.35">
      <c r="A2" s="23" t="s">
        <v>98</v>
      </c>
      <c r="B2" s="12"/>
      <c r="C2" s="12"/>
      <c r="D2" s="12"/>
      <c r="E2" s="12"/>
    </row>
    <row r="4" spans="1:5" x14ac:dyDescent="0.35">
      <c r="A4" s="24" t="s">
        <v>99</v>
      </c>
      <c r="B4" s="5"/>
      <c r="C4" s="5"/>
      <c r="D4" s="5"/>
      <c r="E4" s="5"/>
    </row>
    <row r="5" spans="1:5" x14ac:dyDescent="0.35">
      <c r="A5" s="8" t="s">
        <v>100</v>
      </c>
      <c r="B5" s="8" t="s">
        <v>689</v>
      </c>
      <c r="C5" s="8" t="s">
        <v>101</v>
      </c>
      <c r="D5" s="8"/>
      <c r="E5" s="8"/>
    </row>
    <row r="6" spans="1:5" x14ac:dyDescent="0.35">
      <c r="A6" t="s">
        <v>102</v>
      </c>
      <c r="B6" s="16" t="s">
        <v>806</v>
      </c>
      <c r="C6" s="19"/>
    </row>
    <row r="7" spans="1:5" x14ac:dyDescent="0.35">
      <c r="A7" t="s">
        <v>103</v>
      </c>
      <c r="B7" s="16" t="s">
        <v>806</v>
      </c>
      <c r="C7" s="19"/>
    </row>
    <row r="8" spans="1:5" x14ac:dyDescent="0.35">
      <c r="A8" t="s">
        <v>104</v>
      </c>
      <c r="B8" s="16" t="s">
        <v>810</v>
      </c>
      <c r="C8" s="19"/>
    </row>
    <row r="10" spans="1:5" x14ac:dyDescent="0.35">
      <c r="A10" s="24" t="s">
        <v>105</v>
      </c>
      <c r="B10" s="5"/>
      <c r="C10" s="5"/>
      <c r="D10" s="5"/>
      <c r="E10" s="5"/>
    </row>
    <row r="11" spans="1:5" x14ac:dyDescent="0.35">
      <c r="A11" s="8" t="s">
        <v>100</v>
      </c>
      <c r="B11" s="8"/>
      <c r="C11" s="8"/>
      <c r="D11" s="8"/>
      <c r="E11" s="8"/>
    </row>
    <row r="12" spans="1:5" x14ac:dyDescent="0.35">
      <c r="A12" t="s">
        <v>106</v>
      </c>
      <c r="B12" s="16" t="s">
        <v>809</v>
      </c>
      <c r="C12" s="19"/>
    </row>
    <row r="13" spans="1:5" x14ac:dyDescent="0.35">
      <c r="A13" t="s">
        <v>107</v>
      </c>
      <c r="B13" s="16" t="s">
        <v>808</v>
      </c>
      <c r="C13" s="19"/>
    </row>
    <row r="14" spans="1:5" x14ac:dyDescent="0.35">
      <c r="A14" t="s">
        <v>108</v>
      </c>
      <c r="B14" s="16" t="s">
        <v>806</v>
      </c>
      <c r="C14" s="19"/>
    </row>
    <row r="15" spans="1:5" x14ac:dyDescent="0.35">
      <c r="A15" t="s">
        <v>109</v>
      </c>
      <c r="B15" s="16" t="s">
        <v>690</v>
      </c>
      <c r="C15" s="19"/>
    </row>
    <row r="17" spans="1:5" x14ac:dyDescent="0.35">
      <c r="A17" s="24" t="s">
        <v>110</v>
      </c>
      <c r="B17" s="5"/>
      <c r="C17" s="5"/>
      <c r="D17" s="5"/>
      <c r="E17" s="5"/>
    </row>
    <row r="18" spans="1:5" x14ac:dyDescent="0.35">
      <c r="A18" s="8" t="s">
        <v>100</v>
      </c>
      <c r="B18" s="8"/>
      <c r="C18" s="8"/>
      <c r="D18" s="8"/>
      <c r="E18" s="8"/>
    </row>
    <row r="19" spans="1:5" x14ac:dyDescent="0.35">
      <c r="A19" t="s">
        <v>111</v>
      </c>
      <c r="B19" s="16" t="s">
        <v>807</v>
      </c>
      <c r="C19" s="19"/>
    </row>
    <row r="20" spans="1:5" x14ac:dyDescent="0.35">
      <c r="A20" t="s">
        <v>112</v>
      </c>
      <c r="B20" s="16" t="s">
        <v>806</v>
      </c>
      <c r="C20" s="19"/>
    </row>
    <row r="21" spans="1:5" x14ac:dyDescent="0.35">
      <c r="A21" t="s">
        <v>113</v>
      </c>
      <c r="B21" s="16" t="s">
        <v>805</v>
      </c>
      <c r="C21" s="19"/>
    </row>
    <row r="22" spans="1:5" x14ac:dyDescent="0.35">
      <c r="A22" t="s">
        <v>114</v>
      </c>
      <c r="B22" s="16" t="s">
        <v>691</v>
      </c>
      <c r="C22" s="19" t="s">
        <v>692</v>
      </c>
    </row>
    <row r="23" spans="1:5" x14ac:dyDescent="0.35">
      <c r="B23" s="16"/>
    </row>
    <row r="24" spans="1:5" x14ac:dyDescent="0.35">
      <c r="A24" s="24" t="s">
        <v>115</v>
      </c>
      <c r="B24" s="5"/>
      <c r="C24" s="5"/>
      <c r="D24" s="5"/>
      <c r="E24" s="5"/>
    </row>
    <row r="25" spans="1:5" x14ac:dyDescent="0.35">
      <c r="A25" s="8" t="s">
        <v>116</v>
      </c>
      <c r="B25" s="8" t="s">
        <v>117</v>
      </c>
      <c r="C25" s="8" t="s">
        <v>118</v>
      </c>
      <c r="D25" s="8" t="s">
        <v>119</v>
      </c>
      <c r="E25" s="8"/>
    </row>
    <row r="26" spans="1:5" x14ac:dyDescent="0.35">
      <c r="A26" t="s">
        <v>120</v>
      </c>
      <c r="B26" s="16" t="s">
        <v>804</v>
      </c>
      <c r="D26" s="19"/>
    </row>
    <row r="27" spans="1:5" x14ac:dyDescent="0.35">
      <c r="A27" t="s">
        <v>122</v>
      </c>
      <c r="B27" s="16" t="s">
        <v>803</v>
      </c>
      <c r="D27" s="19"/>
    </row>
    <row r="28" spans="1:5" x14ac:dyDescent="0.35">
      <c r="A28" t="s">
        <v>124</v>
      </c>
      <c r="B28" s="16" t="s">
        <v>804</v>
      </c>
      <c r="D28" s="19"/>
    </row>
    <row r="29" spans="1:5" x14ac:dyDescent="0.35">
      <c r="A29" t="s">
        <v>126</v>
      </c>
      <c r="B29" s="16" t="s">
        <v>803</v>
      </c>
      <c r="D29" s="19"/>
    </row>
    <row r="31" spans="1:5" x14ac:dyDescent="0.35">
      <c r="A31" s="24" t="s">
        <v>128</v>
      </c>
      <c r="B31" s="5"/>
      <c r="C31" s="5"/>
      <c r="D31" s="5"/>
      <c r="E31" s="5"/>
    </row>
    <row r="32" spans="1:5" x14ac:dyDescent="0.35">
      <c r="A32" s="8" t="s">
        <v>129</v>
      </c>
      <c r="B32" s="8" t="s">
        <v>130</v>
      </c>
      <c r="C32" s="8" t="s">
        <v>131</v>
      </c>
      <c r="D32" s="8"/>
      <c r="E32" s="8"/>
    </row>
    <row r="33" spans="1:3" x14ac:dyDescent="0.35">
      <c r="A33" t="s">
        <v>132</v>
      </c>
      <c r="B33" s="16" t="s">
        <v>563</v>
      </c>
      <c r="C33" s="19"/>
    </row>
    <row r="34" spans="1:3" x14ac:dyDescent="0.35">
      <c r="A34" t="s">
        <v>133</v>
      </c>
      <c r="B34" s="16" t="s">
        <v>563</v>
      </c>
      <c r="C34" s="19"/>
    </row>
    <row r="35" spans="1:3" x14ac:dyDescent="0.35">
      <c r="A35" t="s">
        <v>134</v>
      </c>
      <c r="B35" s="16" t="s">
        <v>632</v>
      </c>
      <c r="C35" s="19"/>
    </row>
    <row r="36" spans="1:3" x14ac:dyDescent="0.35">
      <c r="A36" t="s">
        <v>135</v>
      </c>
      <c r="B36" s="16" t="s">
        <v>632</v>
      </c>
      <c r="C36" s="19"/>
    </row>
  </sheetData>
  <dataValidations count="11">
    <dataValidation type="list" allowBlank="1" showInputMessage="1" showErrorMessage="1" sqref="B6 B7 B8" xr:uid="{7489EBAF-5AB2-4B68-A266-E05A54B8E236}">
      <formula1>"Yes,No,Partially,Unknown"</formula1>
    </dataValidation>
    <dataValidation type="list" allowBlank="1" showInputMessage="1" showErrorMessage="1" sqref="B12" xr:uid="{1246966F-742A-463B-9533-44E6BCAC94D8}">
      <formula1>"Local actors disproportionately,Shared equitably,Funder primarily,Not clear"</formula1>
    </dataValidation>
    <dataValidation type="list" allowBlank="1" showInputMessage="1" showErrorMessage="1" sqref="B13" xr:uid="{D0E4473E-7EB6-4A38-BEB2-3C68CA93922E}">
      <formula1>"Yes - proportionate,No - excessive,Somewhat,Not clear"</formula1>
    </dataValidation>
    <dataValidation type="list" allowBlank="1" showInputMessage="1" showErrorMessage="1" sqref="B14" xr:uid="{3CA3B865-375D-4DDB-8A2C-D9ED077B263C}">
      <formula1>"Yes,No,Some evidence,Not clear"</formula1>
    </dataValidation>
    <dataValidation type="list" allowBlank="1" showInputMessage="1" showErrorMessage="1" sqref="B15" xr:uid="{A9F73CC6-44B1-4ED9-92FF-0ACF6E6073F1}">
      <formula1>"Yes - fully,Partially,No,Not clear"</formula1>
    </dataValidation>
    <dataValidation type="list" allowBlank="1" showInputMessage="1" showErrorMessage="1" sqref="B19" xr:uid="{FE558639-6E4C-4084-9816-FF65F3D23E0E}">
      <formula1>"Informed only,Consulted,Co-decision makers,Decision leaders"</formula1>
    </dataValidation>
    <dataValidation type="list" allowBlank="1" showInputMessage="1" showErrorMessage="1" sqref="B20" xr:uid="{FD84E2E1-AA81-455B-A1A2-3B38249216D8}">
      <formula1>"Yes,No,Limited,Not applicable"</formula1>
    </dataValidation>
    <dataValidation type="list" allowBlank="1" showInputMessage="1" showErrorMessage="1" sqref="B21" xr:uid="{04554945-0F92-4FBB-B8FD-24628985ED7B}">
      <formula1>"Yes - formal,Yes - informal,No,Not clear"</formula1>
    </dataValidation>
    <dataValidation type="list" allowBlank="1" showInputMessage="1" showErrorMessage="1" sqref="B22" xr:uid="{15A6554F-6ED5-4503-AD71-C77509605D8B}">
      <formula1>"Yes - significant,Yes - minor,No,Not applicable"</formula1>
    </dataValidation>
    <dataValidation type="list" allowBlank="1" showInputMessage="1" showErrorMessage="1" sqref="B26 B27 B28 B29" xr:uid="{CE8CBFB3-8D31-461E-B3E4-1D26CD4CDE4C}">
      <formula1>"✓,Primary,Secondary,"</formula1>
    </dataValidation>
    <dataValidation type="list" allowBlank="1" showInputMessage="1" showErrorMessage="1" sqref="B33 B34 B35 B36" xr:uid="{45D9E43E-DCCC-4C90-8E5B-F53CB6691E13}">
      <formula1>"Low,Med,High"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BB61-DB25-4772-90F7-D09B3D7AADE8}">
  <dimension ref="A1:M75"/>
  <sheetViews>
    <sheetView topLeftCell="A47" workbookViewId="0">
      <selection activeCell="A46" sqref="A46:C50"/>
    </sheetView>
  </sheetViews>
  <sheetFormatPr defaultRowHeight="14.5" x14ac:dyDescent="0.35"/>
  <cols>
    <col min="1" max="1" width="23.90625" customWidth="1"/>
    <col min="2" max="2" width="25.81640625" customWidth="1"/>
    <col min="3" max="3" width="34.54296875" customWidth="1"/>
  </cols>
  <sheetData>
    <row r="1" spans="1:13" ht="21" x14ac:dyDescent="0.5">
      <c r="A1" s="9" t="s">
        <v>136</v>
      </c>
    </row>
    <row r="3" spans="1:13" ht="18.5" x14ac:dyDescent="0.45">
      <c r="A3" s="3" t="s">
        <v>137</v>
      </c>
    </row>
    <row r="4" spans="1:13" ht="28" customHeight="1" x14ac:dyDescent="0.35">
      <c r="A4" s="1" t="s">
        <v>138</v>
      </c>
      <c r="B4" s="84" t="s">
        <v>703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</row>
    <row r="5" spans="1:13" ht="29.5" customHeight="1" x14ac:dyDescent="0.35">
      <c r="A5" s="1" t="s">
        <v>139</v>
      </c>
      <c r="B5" s="84" t="s">
        <v>704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</row>
    <row r="6" spans="1:13" x14ac:dyDescent="0.35">
      <c r="A6" s="1" t="s">
        <v>140</v>
      </c>
      <c r="B6" t="s">
        <v>141</v>
      </c>
    </row>
    <row r="8" spans="1:13" ht="18.5" x14ac:dyDescent="0.45">
      <c r="A8" s="3" t="s">
        <v>142</v>
      </c>
    </row>
    <row r="9" spans="1:13" x14ac:dyDescent="0.35">
      <c r="A9" s="1" t="s">
        <v>143</v>
      </c>
      <c r="B9" s="1" t="s">
        <v>144</v>
      </c>
      <c r="C9" s="1" t="s">
        <v>145</v>
      </c>
      <c r="D9" s="1" t="s">
        <v>146</v>
      </c>
    </row>
    <row r="10" spans="1:13" ht="29" x14ac:dyDescent="0.35">
      <c r="A10" t="s">
        <v>147</v>
      </c>
      <c r="B10" t="s">
        <v>148</v>
      </c>
      <c r="C10" s="18" t="s">
        <v>149</v>
      </c>
      <c r="D10" t="s">
        <v>150</v>
      </c>
    </row>
    <row r="11" spans="1:13" ht="29" x14ac:dyDescent="0.35">
      <c r="A11" t="s">
        <v>151</v>
      </c>
      <c r="B11" t="s">
        <v>152</v>
      </c>
      <c r="C11" s="18" t="s">
        <v>153</v>
      </c>
      <c r="D11" t="s">
        <v>154</v>
      </c>
    </row>
    <row r="12" spans="1:13" ht="29" x14ac:dyDescent="0.35">
      <c r="A12" t="s">
        <v>155</v>
      </c>
      <c r="B12" t="s">
        <v>156</v>
      </c>
      <c r="C12" s="18" t="s">
        <v>157</v>
      </c>
      <c r="D12" t="s">
        <v>158</v>
      </c>
    </row>
    <row r="14" spans="1:13" ht="18.5" x14ac:dyDescent="0.45">
      <c r="A14" s="3" t="s">
        <v>705</v>
      </c>
    </row>
    <row r="15" spans="1:13" x14ac:dyDescent="0.35">
      <c r="A15" t="s">
        <v>706</v>
      </c>
    </row>
    <row r="16" spans="1:13" x14ac:dyDescent="0.35">
      <c r="A16" s="1" t="s">
        <v>707</v>
      </c>
      <c r="B16" s="1" t="s">
        <v>118</v>
      </c>
      <c r="C16" s="1" t="s">
        <v>708</v>
      </c>
    </row>
    <row r="17" spans="1:3" ht="43.5" x14ac:dyDescent="0.35">
      <c r="A17" t="s">
        <v>709</v>
      </c>
      <c r="B17" s="18" t="s">
        <v>710</v>
      </c>
      <c r="C17" s="18" t="s">
        <v>711</v>
      </c>
    </row>
    <row r="18" spans="1:3" ht="43.5" x14ac:dyDescent="0.35">
      <c r="A18" t="s">
        <v>712</v>
      </c>
      <c r="B18" s="18" t="s">
        <v>713</v>
      </c>
      <c r="C18" s="18" t="s">
        <v>714</v>
      </c>
    </row>
    <row r="19" spans="1:3" ht="43.5" x14ac:dyDescent="0.35">
      <c r="A19" t="s">
        <v>715</v>
      </c>
      <c r="B19" s="18" t="s">
        <v>716</v>
      </c>
      <c r="C19" s="18" t="s">
        <v>717</v>
      </c>
    </row>
    <row r="20" spans="1:3" ht="43.5" x14ac:dyDescent="0.35">
      <c r="A20" t="s">
        <v>718</v>
      </c>
      <c r="B20" s="18" t="s">
        <v>719</v>
      </c>
      <c r="C20" s="18" t="s">
        <v>720</v>
      </c>
    </row>
    <row r="22" spans="1:3" ht="18.5" x14ac:dyDescent="0.45">
      <c r="A22" s="3" t="s">
        <v>721</v>
      </c>
    </row>
    <row r="23" spans="1:3" x14ac:dyDescent="0.35">
      <c r="A23" s="1" t="s">
        <v>722</v>
      </c>
      <c r="B23" s="1" t="s">
        <v>326</v>
      </c>
      <c r="C23" s="1" t="s">
        <v>723</v>
      </c>
    </row>
    <row r="24" spans="1:3" ht="29" x14ac:dyDescent="0.35">
      <c r="A24" t="s">
        <v>724</v>
      </c>
      <c r="B24" s="18" t="s">
        <v>725</v>
      </c>
      <c r="C24" s="18" t="s">
        <v>726</v>
      </c>
    </row>
    <row r="25" spans="1:3" ht="29" x14ac:dyDescent="0.35">
      <c r="A25" t="s">
        <v>727</v>
      </c>
      <c r="B25" s="18" t="s">
        <v>728</v>
      </c>
      <c r="C25" s="18" t="s">
        <v>729</v>
      </c>
    </row>
    <row r="26" spans="1:3" ht="29" x14ac:dyDescent="0.35">
      <c r="A26" t="s">
        <v>730</v>
      </c>
      <c r="B26" s="18" t="s">
        <v>731</v>
      </c>
      <c r="C26" s="18" t="s">
        <v>732</v>
      </c>
    </row>
    <row r="27" spans="1:3" ht="29" x14ac:dyDescent="0.35">
      <c r="A27" t="s">
        <v>733</v>
      </c>
      <c r="B27" s="18" t="s">
        <v>734</v>
      </c>
      <c r="C27" s="18" t="s">
        <v>735</v>
      </c>
    </row>
    <row r="28" spans="1:3" ht="29" x14ac:dyDescent="0.35">
      <c r="A28" t="s">
        <v>736</v>
      </c>
      <c r="B28" s="18" t="s">
        <v>737</v>
      </c>
      <c r="C28" s="18" t="s">
        <v>738</v>
      </c>
    </row>
    <row r="30" spans="1:3" ht="18.5" x14ac:dyDescent="0.45">
      <c r="A30" s="3" t="s">
        <v>739</v>
      </c>
    </row>
    <row r="31" spans="1:3" x14ac:dyDescent="0.35">
      <c r="A31" s="1" t="s">
        <v>740</v>
      </c>
      <c r="B31" s="1" t="s">
        <v>741</v>
      </c>
      <c r="C31" s="1" t="s">
        <v>742</v>
      </c>
    </row>
    <row r="32" spans="1:3" ht="43.5" x14ac:dyDescent="0.35">
      <c r="A32" t="s">
        <v>743</v>
      </c>
      <c r="B32" s="18" t="s">
        <v>744</v>
      </c>
      <c r="C32" s="18" t="s">
        <v>745</v>
      </c>
    </row>
    <row r="33" spans="1:3" ht="29" x14ac:dyDescent="0.35">
      <c r="A33" t="s">
        <v>746</v>
      </c>
      <c r="B33" s="18" t="s">
        <v>747</v>
      </c>
      <c r="C33" s="18" t="s">
        <v>748</v>
      </c>
    </row>
    <row r="34" spans="1:3" ht="43.5" x14ac:dyDescent="0.35">
      <c r="A34" t="s">
        <v>749</v>
      </c>
      <c r="B34" s="18" t="s">
        <v>750</v>
      </c>
      <c r="C34" s="18" t="s">
        <v>751</v>
      </c>
    </row>
    <row r="35" spans="1:3" ht="43.5" x14ac:dyDescent="0.35">
      <c r="A35" t="s">
        <v>752</v>
      </c>
      <c r="B35" s="18" t="s">
        <v>753</v>
      </c>
      <c r="C35" s="18" t="s">
        <v>754</v>
      </c>
    </row>
    <row r="37" spans="1:3" ht="18.5" x14ac:dyDescent="0.45">
      <c r="A37" s="3" t="s">
        <v>755</v>
      </c>
    </row>
    <row r="38" spans="1:3" x14ac:dyDescent="0.35">
      <c r="A38" s="1" t="s">
        <v>116</v>
      </c>
      <c r="B38" s="1" t="s">
        <v>756</v>
      </c>
      <c r="C38" s="1" t="s">
        <v>552</v>
      </c>
    </row>
    <row r="39" spans="1:3" ht="29" x14ac:dyDescent="0.35">
      <c r="A39" t="s">
        <v>553</v>
      </c>
      <c r="B39" s="18" t="s">
        <v>121</v>
      </c>
      <c r="C39" s="18" t="s">
        <v>757</v>
      </c>
    </row>
    <row r="40" spans="1:3" ht="29" x14ac:dyDescent="0.35">
      <c r="A40" t="s">
        <v>555</v>
      </c>
      <c r="B40" s="18" t="s">
        <v>123</v>
      </c>
      <c r="C40" s="18" t="s">
        <v>758</v>
      </c>
    </row>
    <row r="41" spans="1:3" ht="29" x14ac:dyDescent="0.35">
      <c r="A41" t="s">
        <v>557</v>
      </c>
      <c r="B41" s="18" t="s">
        <v>125</v>
      </c>
      <c r="C41" s="18" t="s">
        <v>759</v>
      </c>
    </row>
    <row r="42" spans="1:3" ht="29" x14ac:dyDescent="0.35">
      <c r="A42" t="s">
        <v>126</v>
      </c>
      <c r="B42" s="18" t="s">
        <v>127</v>
      </c>
      <c r="C42" s="18" t="s">
        <v>760</v>
      </c>
    </row>
    <row r="44" spans="1:3" ht="18.5" x14ac:dyDescent="0.45">
      <c r="A44" s="3" t="s">
        <v>761</v>
      </c>
    </row>
    <row r="45" spans="1:3" x14ac:dyDescent="0.35">
      <c r="A45" s="1" t="s">
        <v>762</v>
      </c>
      <c r="B45" s="1" t="s">
        <v>763</v>
      </c>
      <c r="C45" s="1" t="s">
        <v>764</v>
      </c>
    </row>
    <row r="46" spans="1:3" ht="29" x14ac:dyDescent="0.35">
      <c r="A46" s="18" t="s">
        <v>765</v>
      </c>
      <c r="B46" s="18" t="s">
        <v>766</v>
      </c>
      <c r="C46" s="18" t="s">
        <v>767</v>
      </c>
    </row>
    <row r="47" spans="1:3" ht="29" x14ac:dyDescent="0.35">
      <c r="A47" s="18" t="s">
        <v>768</v>
      </c>
      <c r="B47" s="18" t="s">
        <v>769</v>
      </c>
      <c r="C47" s="18" t="s">
        <v>770</v>
      </c>
    </row>
    <row r="48" spans="1:3" ht="29" x14ac:dyDescent="0.35">
      <c r="A48" s="18" t="s">
        <v>771</v>
      </c>
      <c r="B48" s="18" t="s">
        <v>772</v>
      </c>
      <c r="C48" s="18" t="s">
        <v>773</v>
      </c>
    </row>
    <row r="49" spans="1:3" ht="29" x14ac:dyDescent="0.35">
      <c r="A49" s="18" t="s">
        <v>774</v>
      </c>
      <c r="B49" s="18" t="s">
        <v>775</v>
      </c>
      <c r="C49" s="18" t="s">
        <v>776</v>
      </c>
    </row>
    <row r="50" spans="1:3" ht="29" x14ac:dyDescent="0.35">
      <c r="A50" s="18" t="s">
        <v>777</v>
      </c>
      <c r="B50" s="18" t="s">
        <v>778</v>
      </c>
      <c r="C50" s="18" t="s">
        <v>779</v>
      </c>
    </row>
    <row r="55" spans="1:3" ht="18.5" x14ac:dyDescent="0.45">
      <c r="A55" s="3" t="s">
        <v>231</v>
      </c>
    </row>
    <row r="56" spans="1:3" x14ac:dyDescent="0.35">
      <c r="A56" s="1" t="s">
        <v>232</v>
      </c>
      <c r="B56" t="s">
        <v>233</v>
      </c>
    </row>
    <row r="57" spans="1:3" x14ac:dyDescent="0.35">
      <c r="A57" s="1" t="s">
        <v>234</v>
      </c>
      <c r="B57" t="s">
        <v>235</v>
      </c>
    </row>
    <row r="58" spans="1:3" x14ac:dyDescent="0.35">
      <c r="A58" s="1" t="s">
        <v>236</v>
      </c>
      <c r="B58" t="s">
        <v>237</v>
      </c>
    </row>
    <row r="59" spans="1:3" x14ac:dyDescent="0.35">
      <c r="A59" s="1" t="s">
        <v>238</v>
      </c>
      <c r="B59" t="s">
        <v>239</v>
      </c>
    </row>
    <row r="60" spans="1:3" x14ac:dyDescent="0.35">
      <c r="A60" s="1" t="s">
        <v>240</v>
      </c>
      <c r="B60" t="s">
        <v>241</v>
      </c>
    </row>
    <row r="62" spans="1:3" ht="18.5" x14ac:dyDescent="0.45">
      <c r="A62" s="3" t="s">
        <v>242</v>
      </c>
    </row>
    <row r="63" spans="1:3" x14ac:dyDescent="0.35">
      <c r="A63" s="1" t="s">
        <v>243</v>
      </c>
      <c r="B63" s="1" t="s">
        <v>244</v>
      </c>
      <c r="C63" s="1" t="s">
        <v>245</v>
      </c>
    </row>
    <row r="64" spans="1:3" x14ac:dyDescent="0.35">
      <c r="A64" t="s">
        <v>246</v>
      </c>
      <c r="B64" t="s">
        <v>247</v>
      </c>
      <c r="C64" t="s">
        <v>248</v>
      </c>
    </row>
    <row r="65" spans="1:3" x14ac:dyDescent="0.35">
      <c r="A65" t="s">
        <v>249</v>
      </c>
      <c r="B65" t="s">
        <v>250</v>
      </c>
      <c r="C65" t="s">
        <v>251</v>
      </c>
    </row>
    <row r="66" spans="1:3" x14ac:dyDescent="0.35">
      <c r="A66" t="s">
        <v>252</v>
      </c>
      <c r="B66" t="s">
        <v>253</v>
      </c>
      <c r="C66" t="s">
        <v>254</v>
      </c>
    </row>
    <row r="67" spans="1:3" x14ac:dyDescent="0.35">
      <c r="A67" t="s">
        <v>255</v>
      </c>
      <c r="B67" t="s">
        <v>256</v>
      </c>
      <c r="C67" t="s">
        <v>257</v>
      </c>
    </row>
    <row r="68" spans="1:3" x14ac:dyDescent="0.35">
      <c r="A68" t="s">
        <v>258</v>
      </c>
      <c r="B68" t="s">
        <v>259</v>
      </c>
      <c r="C68" t="s">
        <v>260</v>
      </c>
    </row>
    <row r="70" spans="1:3" ht="18.5" x14ac:dyDescent="0.45">
      <c r="A70" s="3" t="s">
        <v>261</v>
      </c>
    </row>
    <row r="71" spans="1:3" x14ac:dyDescent="0.35">
      <c r="A71" t="s">
        <v>262</v>
      </c>
    </row>
    <row r="72" spans="1:3" x14ac:dyDescent="0.35">
      <c r="A72" t="s">
        <v>263</v>
      </c>
    </row>
    <row r="73" spans="1:3" x14ac:dyDescent="0.35">
      <c r="A73" t="s">
        <v>264</v>
      </c>
    </row>
    <row r="74" spans="1:3" x14ac:dyDescent="0.35">
      <c r="A74" t="s">
        <v>265</v>
      </c>
    </row>
    <row r="75" spans="1:3" x14ac:dyDescent="0.35">
      <c r="A75" t="s">
        <v>266</v>
      </c>
    </row>
  </sheetData>
  <mergeCells count="2">
    <mergeCell ref="B4:M4"/>
    <mergeCell ref="B5:M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3B18-522C-4784-8789-C58336801BB0}">
  <dimension ref="A1:F58"/>
  <sheetViews>
    <sheetView workbookViewId="0">
      <selection activeCell="D6" sqref="D6"/>
    </sheetView>
  </sheetViews>
  <sheetFormatPr defaultRowHeight="14.5" x14ac:dyDescent="0.35"/>
  <cols>
    <col min="1" max="1" width="32.7265625" customWidth="1"/>
    <col min="2" max="3" width="21.81640625" customWidth="1"/>
    <col min="4" max="4" width="14.54296875" customWidth="1"/>
    <col min="5" max="5" width="21.81640625" customWidth="1"/>
    <col min="6" max="6" width="14.54296875" customWidth="1"/>
  </cols>
  <sheetData>
    <row r="1" spans="1:6" ht="18.5" x14ac:dyDescent="0.45">
      <c r="A1" s="3" t="s">
        <v>159</v>
      </c>
    </row>
    <row r="2" spans="1:6" x14ac:dyDescent="0.35">
      <c r="A2" t="s">
        <v>160</v>
      </c>
    </row>
    <row r="4" spans="1:6" x14ac:dyDescent="0.35">
      <c r="A4" s="1" t="s">
        <v>161</v>
      </c>
    </row>
    <row r="5" spans="1:6" x14ac:dyDescent="0.35">
      <c r="A5" s="25" t="s">
        <v>162</v>
      </c>
      <c r="B5" s="25" t="s">
        <v>144</v>
      </c>
      <c r="C5" s="25" t="s">
        <v>143</v>
      </c>
      <c r="D5" s="25" t="s">
        <v>163</v>
      </c>
      <c r="E5" s="25" t="s">
        <v>164</v>
      </c>
      <c r="F5" s="25" t="s">
        <v>165</v>
      </c>
    </row>
    <row r="6" spans="1:6" x14ac:dyDescent="0.35">
      <c r="A6" t="s">
        <v>166</v>
      </c>
      <c r="B6" t="s">
        <v>167</v>
      </c>
      <c r="C6" t="s">
        <v>148</v>
      </c>
      <c r="D6">
        <f>Input_Domains!B6</f>
        <v>3</v>
      </c>
      <c r="E6" t="str">
        <f>Input_Domains!B18</f>
        <v>Medium</v>
      </c>
      <c r="F6">
        <f t="shared" ref="F6:F14" si="0">IF(E6="High",3,IF(E6="Medium",2,IF(E6="Low",1,0)))</f>
        <v>2</v>
      </c>
    </row>
    <row r="7" spans="1:6" x14ac:dyDescent="0.35">
      <c r="A7" t="s">
        <v>168</v>
      </c>
      <c r="B7" t="s">
        <v>169</v>
      </c>
      <c r="C7" t="s">
        <v>148</v>
      </c>
      <c r="D7">
        <f>Input_Domains!B21</f>
        <v>0</v>
      </c>
      <c r="E7" t="str">
        <f>Input_Domains!B34</f>
        <v>High</v>
      </c>
      <c r="F7">
        <f t="shared" si="0"/>
        <v>3</v>
      </c>
    </row>
    <row r="8" spans="1:6" x14ac:dyDescent="0.35">
      <c r="A8" t="s">
        <v>170</v>
      </c>
      <c r="B8" t="s">
        <v>171</v>
      </c>
      <c r="C8" t="s">
        <v>148</v>
      </c>
      <c r="D8">
        <f>Input_Domains!B37</f>
        <v>0</v>
      </c>
      <c r="E8">
        <f>Input_Domains!B50</f>
        <v>0</v>
      </c>
      <c r="F8">
        <f t="shared" si="0"/>
        <v>0</v>
      </c>
    </row>
    <row r="9" spans="1:6" x14ac:dyDescent="0.35">
      <c r="A9" t="s">
        <v>172</v>
      </c>
      <c r="B9" t="s">
        <v>173</v>
      </c>
      <c r="C9" t="s">
        <v>152</v>
      </c>
      <c r="D9">
        <f>Input_Domains!B54</f>
        <v>2</v>
      </c>
      <c r="E9" t="str">
        <f>Input_Domains!B69</f>
        <v>High</v>
      </c>
      <c r="F9">
        <f t="shared" si="0"/>
        <v>3</v>
      </c>
    </row>
    <row r="10" spans="1:6" x14ac:dyDescent="0.35">
      <c r="A10" t="s">
        <v>174</v>
      </c>
      <c r="B10" t="s">
        <v>175</v>
      </c>
      <c r="C10" t="s">
        <v>152</v>
      </c>
      <c r="D10">
        <f>Input_Domains!B72</f>
        <v>1</v>
      </c>
      <c r="E10" t="str">
        <f>Input_Domains!B85</f>
        <v>Medium</v>
      </c>
      <c r="F10">
        <f t="shared" si="0"/>
        <v>2</v>
      </c>
    </row>
    <row r="11" spans="1:6" x14ac:dyDescent="0.35">
      <c r="A11" t="s">
        <v>176</v>
      </c>
      <c r="B11" t="s">
        <v>177</v>
      </c>
      <c r="C11" t="s">
        <v>152</v>
      </c>
      <c r="D11">
        <f>Input_Domains!B88</f>
        <v>2</v>
      </c>
      <c r="E11" t="str">
        <f>Input_Domains!B101</f>
        <v>High</v>
      </c>
      <c r="F11">
        <f t="shared" si="0"/>
        <v>3</v>
      </c>
    </row>
    <row r="12" spans="1:6" x14ac:dyDescent="0.35">
      <c r="A12" t="s">
        <v>178</v>
      </c>
      <c r="B12" t="s">
        <v>179</v>
      </c>
      <c r="C12" t="s">
        <v>156</v>
      </c>
      <c r="D12">
        <f>Input_Domains!B104</f>
        <v>2</v>
      </c>
      <c r="E12" t="str">
        <f>Input_Domains!B117</f>
        <v>High</v>
      </c>
      <c r="F12">
        <f t="shared" si="0"/>
        <v>3</v>
      </c>
    </row>
    <row r="13" spans="1:6" x14ac:dyDescent="0.35">
      <c r="A13" t="s">
        <v>180</v>
      </c>
      <c r="B13" t="s">
        <v>181</v>
      </c>
      <c r="C13" t="s">
        <v>156</v>
      </c>
      <c r="D13">
        <f>Input_Domains!B120</f>
        <v>2</v>
      </c>
      <c r="E13" t="str">
        <f>Input_Domains!B133</f>
        <v>Medium</v>
      </c>
      <c r="F13">
        <f t="shared" si="0"/>
        <v>2</v>
      </c>
    </row>
    <row r="14" spans="1:6" x14ac:dyDescent="0.35">
      <c r="A14" t="s">
        <v>182</v>
      </c>
      <c r="B14" t="s">
        <v>183</v>
      </c>
      <c r="C14" t="s">
        <v>156</v>
      </c>
      <c r="D14">
        <f>Input_Domains!B136</f>
        <v>4</v>
      </c>
      <c r="E14" t="str">
        <f>Input_Domains!B148</f>
        <v>Medium</v>
      </c>
      <c r="F14">
        <f t="shared" si="0"/>
        <v>2</v>
      </c>
    </row>
    <row r="17" spans="1:5" x14ac:dyDescent="0.35">
      <c r="A17" s="1" t="s">
        <v>184</v>
      </c>
    </row>
    <row r="18" spans="1:5" x14ac:dyDescent="0.35">
      <c r="A18" s="25" t="s">
        <v>143</v>
      </c>
      <c r="B18" s="25" t="s">
        <v>185</v>
      </c>
      <c r="C18" s="25" t="s">
        <v>186</v>
      </c>
      <c r="D18" s="25" t="s">
        <v>187</v>
      </c>
      <c r="E18" s="25" t="s">
        <v>188</v>
      </c>
    </row>
    <row r="19" spans="1:5" x14ac:dyDescent="0.35">
      <c r="A19" t="s">
        <v>147</v>
      </c>
      <c r="B19">
        <f>AVERAGE(D6:D8)</f>
        <v>1</v>
      </c>
      <c r="C19" t="str">
        <f>IF(B19&gt;=4,"Strong",IF(B19&gt;=3,"Moderate",IF(B19&gt;=2,"Partial","Emerging")))</f>
        <v>Emerging</v>
      </c>
      <c r="D19">
        <f>AVERAGE(F6:F8)</f>
        <v>1.6666666666666667</v>
      </c>
      <c r="E19">
        <f>COUNTIF(C6:C14,"WHAT")</f>
        <v>3</v>
      </c>
    </row>
    <row r="20" spans="1:5" x14ac:dyDescent="0.35">
      <c r="A20" t="s">
        <v>151</v>
      </c>
      <c r="B20">
        <f>AVERAGE(D9:D11)</f>
        <v>1.6666666666666667</v>
      </c>
      <c r="C20" t="str">
        <f>IF(B20&gt;=4,"Strong",IF(B20&gt;=3,"Moderate",IF(B20&gt;=2,"Partial","Emerging")))</f>
        <v>Emerging</v>
      </c>
      <c r="D20">
        <f>AVERAGE(F9:F11)</f>
        <v>2.6666666666666665</v>
      </c>
      <c r="E20">
        <f>COUNTIF(C6:C14,"HOW")</f>
        <v>3</v>
      </c>
    </row>
    <row r="21" spans="1:5" x14ac:dyDescent="0.35">
      <c r="A21" t="s">
        <v>155</v>
      </c>
      <c r="B21">
        <f>AVERAGE(D12:D14)</f>
        <v>2.6666666666666665</v>
      </c>
      <c r="C21" t="str">
        <f>IF(B21&gt;=4,"Strong",IF(B21&gt;=3,"Moderate",IF(B21&gt;=2,"Partial","Emerging")))</f>
        <v>Partial</v>
      </c>
      <c r="D21">
        <f>AVERAGE(F12:F14)</f>
        <v>2.3333333333333335</v>
      </c>
      <c r="E21">
        <f>COUNTIF(C6:C14,"END")</f>
        <v>3</v>
      </c>
    </row>
    <row r="24" spans="1:5" x14ac:dyDescent="0.35">
      <c r="A24" s="1" t="s">
        <v>189</v>
      </c>
    </row>
    <row r="25" spans="1:5" x14ac:dyDescent="0.35">
      <c r="A25" s="25" t="s">
        <v>190</v>
      </c>
      <c r="B25" s="25" t="s">
        <v>191</v>
      </c>
    </row>
    <row r="26" spans="1:5" x14ac:dyDescent="0.35">
      <c r="A26" t="s">
        <v>192</v>
      </c>
      <c r="B26">
        <f>AVERAGE(D6:D14)</f>
        <v>1.7777777777777777</v>
      </c>
    </row>
    <row r="27" spans="1:5" x14ac:dyDescent="0.35">
      <c r="A27" t="s">
        <v>188</v>
      </c>
      <c r="B27">
        <f>COUNTA(D6:D14)-COUNTBLANK(D6:D14)</f>
        <v>9</v>
      </c>
    </row>
    <row r="28" spans="1:5" x14ac:dyDescent="0.35">
      <c r="A28" t="s">
        <v>193</v>
      </c>
      <c r="B28">
        <f>AVERAGE(F6:F14)</f>
        <v>2.2222222222222223</v>
      </c>
    </row>
    <row r="29" spans="1:5" x14ac:dyDescent="0.35">
      <c r="A29" t="s">
        <v>194</v>
      </c>
      <c r="B29">
        <f>MIN(D6:D14)</f>
        <v>0</v>
      </c>
    </row>
    <row r="30" spans="1:5" x14ac:dyDescent="0.35">
      <c r="A30" t="s">
        <v>195</v>
      </c>
      <c r="B30">
        <f>MAX(D6:D14)</f>
        <v>4</v>
      </c>
    </row>
    <row r="33" spans="1:3" x14ac:dyDescent="0.35">
      <c r="A33" s="1" t="s">
        <v>196</v>
      </c>
    </row>
    <row r="34" spans="1:3" x14ac:dyDescent="0.35">
      <c r="A34" s="26" t="s">
        <v>129</v>
      </c>
      <c r="B34" s="26" t="s">
        <v>197</v>
      </c>
      <c r="C34" s="26" t="s">
        <v>198</v>
      </c>
    </row>
    <row r="35" spans="1:3" x14ac:dyDescent="0.35">
      <c r="A35" t="s">
        <v>132</v>
      </c>
      <c r="B35" t="str">
        <f>Input_Integrity!B33</f>
        <v>High</v>
      </c>
      <c r="C35">
        <f>IF(B35="High",3,IF(B35="Med",2,IF(B35="Low",1,0)))</f>
        <v>3</v>
      </c>
    </row>
    <row r="36" spans="1:3" x14ac:dyDescent="0.35">
      <c r="A36" t="s">
        <v>133</v>
      </c>
      <c r="B36" t="str">
        <f>Input_Integrity!B34</f>
        <v>High</v>
      </c>
      <c r="C36">
        <f>IF(B36="High",3,IF(B36="Med",2,IF(B36="Low",1,0)))</f>
        <v>3</v>
      </c>
    </row>
    <row r="37" spans="1:3" x14ac:dyDescent="0.35">
      <c r="A37" t="s">
        <v>134</v>
      </c>
      <c r="B37" t="str">
        <f>Input_Integrity!B35</f>
        <v>Med</v>
      </c>
      <c r="C37">
        <f>IF(B37="High",3,IF(B37="Med",2,IF(B37="Low",1,0)))</f>
        <v>2</v>
      </c>
    </row>
    <row r="38" spans="1:3" x14ac:dyDescent="0.35">
      <c r="A38" t="s">
        <v>135</v>
      </c>
      <c r="B38" t="str">
        <f>Input_Integrity!B36</f>
        <v>Med</v>
      </c>
      <c r="C38">
        <f>IF(B38="High",3,IF(B38="Med",2,IF(B38="Low",1,0)))</f>
        <v>2</v>
      </c>
    </row>
    <row r="41" spans="1:3" x14ac:dyDescent="0.35">
      <c r="A41" s="1" t="s">
        <v>199</v>
      </c>
    </row>
    <row r="42" spans="1:3" x14ac:dyDescent="0.35">
      <c r="A42" s="1" t="s">
        <v>116</v>
      </c>
      <c r="B42" s="1" t="s">
        <v>200</v>
      </c>
    </row>
    <row r="43" spans="1:3" x14ac:dyDescent="0.35">
      <c r="A43" t="s">
        <v>120</v>
      </c>
      <c r="B43" t="str">
        <f>Input_Integrity!B26</f>
        <v>Primary</v>
      </c>
    </row>
    <row r="44" spans="1:3" x14ac:dyDescent="0.35">
      <c r="A44" t="s">
        <v>122</v>
      </c>
      <c r="B44" t="str">
        <f>Input_Integrity!B27</f>
        <v>Secondary</v>
      </c>
    </row>
    <row r="45" spans="1:3" x14ac:dyDescent="0.35">
      <c r="A45" t="s">
        <v>124</v>
      </c>
      <c r="B45" t="str">
        <f>Input_Integrity!B28</f>
        <v>Primary</v>
      </c>
    </row>
    <row r="46" spans="1:3" x14ac:dyDescent="0.35">
      <c r="A46" t="s">
        <v>126</v>
      </c>
      <c r="B46" t="str">
        <f>Input_Integrity!B29</f>
        <v>Secondary</v>
      </c>
    </row>
    <row r="49" spans="1:2" x14ac:dyDescent="0.35">
      <c r="A49" s="1" t="s">
        <v>201</v>
      </c>
    </row>
    <row r="50" spans="1:2" x14ac:dyDescent="0.35">
      <c r="A50" s="25" t="s">
        <v>3</v>
      </c>
      <c r="B50" s="25" t="s">
        <v>191</v>
      </c>
    </row>
    <row r="51" spans="1:2" x14ac:dyDescent="0.35">
      <c r="A51" t="s">
        <v>6</v>
      </c>
      <c r="B51" t="str">
        <f>Input_Context!B6</f>
        <v>PEPFAR Nigeria</v>
      </c>
    </row>
    <row r="52" spans="1:2" x14ac:dyDescent="0.35">
      <c r="A52" t="s">
        <v>202</v>
      </c>
      <c r="B52" t="str">
        <f>Input_Context!B7</f>
        <v>USG</v>
      </c>
    </row>
    <row r="53" spans="1:2" x14ac:dyDescent="0.35">
      <c r="A53" t="s">
        <v>203</v>
      </c>
      <c r="B53" t="str">
        <f>Input_Context!B8</f>
        <v>Nigeria</v>
      </c>
    </row>
    <row r="54" spans="1:2" x14ac:dyDescent="0.35">
      <c r="A54" t="s">
        <v>12</v>
      </c>
      <c r="B54" t="str">
        <f>Input_Context!B9</f>
        <v>Health - HIV Program</v>
      </c>
    </row>
    <row r="55" spans="1:2" x14ac:dyDescent="0.35">
      <c r="A55" t="s">
        <v>37</v>
      </c>
      <c r="B55">
        <f>Input_Context!B26</f>
        <v>0</v>
      </c>
    </row>
    <row r="56" spans="1:2" x14ac:dyDescent="0.35">
      <c r="A56" t="s">
        <v>204</v>
      </c>
      <c r="B56">
        <f>Input_Context!B28</f>
        <v>0</v>
      </c>
    </row>
    <row r="57" spans="1:2" x14ac:dyDescent="0.35">
      <c r="A57" t="s">
        <v>18</v>
      </c>
      <c r="B57">
        <f>Input_Context!B12</f>
        <v>0</v>
      </c>
    </row>
    <row r="58" spans="1:2" x14ac:dyDescent="0.35">
      <c r="A58" t="s">
        <v>205</v>
      </c>
      <c r="B58">
        <f>Input_Context!B13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HowTo</vt:lpstr>
      <vt:lpstr>Dashboard</vt:lpstr>
      <vt:lpstr>Input_Context</vt:lpstr>
      <vt:lpstr>Input_Domains</vt:lpstr>
      <vt:lpstr>Input_Integrity</vt:lpstr>
      <vt:lpstr>Reference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Ongboche</dc:creator>
  <cp:lastModifiedBy>Paul Ongboche</cp:lastModifiedBy>
  <dcterms:created xsi:type="dcterms:W3CDTF">2026-06-17T12:49:39Z</dcterms:created>
  <dcterms:modified xsi:type="dcterms:W3CDTF">2026-06-30T21:42:28Z</dcterms:modified>
</cp:coreProperties>
</file>